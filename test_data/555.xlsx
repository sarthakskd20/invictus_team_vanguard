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55" sheetId="1" r:id="rId1"/>
  </sheets>
  <definedNames>
    <definedName name="BoardQty" localSheetId="0">'555'!$I$1</definedName>
    <definedName name="PURCHASE_DESCRIPTION" localSheetId="0">'555'!$I$17</definedName>
    <definedName name="TotalCost" localSheetId="0">'555'!$I$3</definedName>
    <definedName name="USD_GBP" localSheetId="0">'555'!$C$17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H3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O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U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A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G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6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6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6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6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6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F6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G6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H6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I6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J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K6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L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M6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N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O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P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Q6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R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S6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T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U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V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W6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X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Y6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Z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AA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AB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AC6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AD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AE6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AF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AG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J7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L7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100   $6.22    $621.60</t>
        </r>
      </text>
    </comment>
    <comment ref="O7" authorId="0">
      <text>
        <r>
          <rPr>
            <sz val="8"/>
            <color indexed="81"/>
            <rFont val="Tahoma"/>
            <family val="2"/>
          </rPr>
          <t>Desc: CAP CERAMIC 0.01UF 50V C0G 1% TH
Footprint: Radial
Size: 0.290" L x 0.090" W (7.37mm x 2.29mm)
Temp_coeff: C0G, NP0
Tolerance: ±1%
Value: 10000 pF 
Voltage: 50V</t>
        </r>
      </text>
    </comment>
    <comment ref="P7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R7" authorId="0">
      <text>
        <r>
          <rPr>
            <sz val="8"/>
            <color indexed="81"/>
            <rFont val="Tahoma"/>
            <family val="2"/>
          </rPr>
          <t>Qty/Price Breaks (GBP):
  Qty  -  Unit£  -  Ext£
================
   100   £5.36    £536.00</t>
        </r>
      </text>
    </comment>
    <comment ref="U7" authorId="0">
      <text>
        <r>
          <rPr>
            <sz val="8"/>
            <color indexed="81"/>
            <rFont val="Tahoma"/>
            <family val="2"/>
          </rPr>
          <t xml:space="preserve">Desc: KEMET - CCR06CG103FSV - Multilayer Ceramic Capacitor, 0.01 µF, 50 V, ± 1%, PC Pin, C0G / NP0, 5.08 mm
Tolerance: ± 1%
Value: 10000 pF </t>
        </r>
      </text>
    </comment>
    <comment ref="V7" authorId="0">
      <text>
        <r>
          <rPr>
            <sz val="8"/>
            <color indexed="81"/>
            <rFont val="Tahoma"/>
            <family val="2"/>
          </rPr>
          <t>237 In Stock</t>
        </r>
      </text>
    </comment>
    <comment ref="X7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$12.70     $12.70
    10   $9.80     $98.00
   100   $8.28    $828.00
   200   $8.27  $1,654.00</t>
        </r>
      </text>
    </comment>
    <comment ref="AA7" authorId="0">
      <text>
        <r>
          <rPr>
            <sz val="8"/>
            <color indexed="81"/>
            <rFont val="Tahoma"/>
            <family val="2"/>
          </rPr>
          <t>Desc: Multilayer Ceramic Capacitors MLCC - Leaded .01UF   50V    1%</t>
        </r>
      </text>
    </comment>
    <comment ref="AB7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AD7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$14.63     $14.63
    10  $13.93    $139.30
    25  $12.15    $303.75
    50  $11.32    $566.00
   100  $10.05  $1,005.00
   250   $9.60  $2,400.00
   500   $8.97  $4,485.00</t>
        </r>
      </text>
    </comment>
    <comment ref="AG7" authorId="0">
      <text>
        <r>
          <rPr>
            <sz val="8"/>
            <color indexed="81"/>
            <rFont val="Tahoma"/>
            <family val="2"/>
          </rPr>
          <t>Desc: KYOCERA AVX - CCR06CG103FS - Capacitor,Ceramic,10000pF,50VDC,1-% Tol,1+% Tol,CG-TC Code,30ppm-TC RoHS Compliant: Yes</t>
        </r>
      </text>
    </comment>
    <comment ref="J8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L8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100   $6.22    $621.60</t>
        </r>
      </text>
    </comment>
    <comment ref="O8" authorId="0">
      <text>
        <r>
          <rPr>
            <sz val="8"/>
            <color indexed="81"/>
            <rFont val="Tahoma"/>
            <family val="2"/>
          </rPr>
          <t>Desc: CAP CERAMIC 0.01UF 50V C0G 1% TH
Footprint: Radial
Size: 0.290" L x 0.090" W (7.37mm x 2.29mm)
Temp_coeff: C0G, NP0
Tolerance: ±1%
Value: 10000 pF 
Voltage: 50V</t>
        </r>
      </text>
    </comment>
    <comment ref="P8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R8" authorId="0">
      <text>
        <r>
          <rPr>
            <sz val="8"/>
            <color indexed="81"/>
            <rFont val="Tahoma"/>
            <family val="2"/>
          </rPr>
          <t>Qty/Price Breaks (GBP):
  Qty  -  Unit£  -  Ext£
================
   100   £5.36    £536.00</t>
        </r>
      </text>
    </comment>
    <comment ref="U8" authorId="0">
      <text>
        <r>
          <rPr>
            <sz val="8"/>
            <color indexed="81"/>
            <rFont val="Tahoma"/>
            <family val="2"/>
          </rPr>
          <t xml:space="preserve">Desc: KEMET - CCR06CG103FSV - Multilayer Ceramic Capacitor, 0.01 µF, 50 V, ± 1%, PC Pin, C0G / NP0, 5.08 mm
Tolerance: ± 1%
Value: 10000 pF </t>
        </r>
      </text>
    </comment>
    <comment ref="V8" authorId="0">
      <text>
        <r>
          <rPr>
            <sz val="8"/>
            <color indexed="81"/>
            <rFont val="Tahoma"/>
            <family val="2"/>
          </rPr>
          <t>237 In Stock</t>
        </r>
      </text>
    </comment>
    <comment ref="X8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$12.70     $12.70
    10   $9.80     $98.00
   100   $8.28    $828.00
   200   $8.27  $1,654.00</t>
        </r>
      </text>
    </comment>
    <comment ref="AA8" authorId="0">
      <text>
        <r>
          <rPr>
            <sz val="8"/>
            <color indexed="81"/>
            <rFont val="Tahoma"/>
            <family val="2"/>
          </rPr>
          <t>Desc: Multilayer Ceramic Capacitors MLCC - Leaded .01UF   50V    1%</t>
        </r>
      </text>
    </comment>
    <comment ref="AB8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AD8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$14.63     $14.63
    10  $13.93    $139.30
    25  $12.15    $303.75
    50  $11.32    $566.00
   100  $10.05  $1,005.00
   250   $9.60  $2,400.00
   500   $8.97  $4,485.00</t>
        </r>
      </text>
    </comment>
    <comment ref="AG8" authorId="0">
      <text>
        <r>
          <rPr>
            <sz val="8"/>
            <color indexed="81"/>
            <rFont val="Tahoma"/>
            <family val="2"/>
          </rPr>
          <t>Desc: KYOCERA AVX - CCR06CG103FS - Capacitor,Ceramic,10000pF,50VDC,1-% Tol,1+% Tol,CG-TC Code,30ppm-TC RoHS Compliant: Yes</t>
        </r>
      </text>
    </comment>
    <comment ref="J10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L10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</t>
        </r>
      </text>
    </comment>
    <comment ref="O10" authorId="0">
      <text>
        <r>
          <rPr>
            <sz val="8"/>
            <color indexed="81"/>
            <rFont val="Tahoma"/>
            <family val="2"/>
          </rPr>
          <t xml:space="preserve">Desc: RES 910K OHM 5% 1/4W AXIAL
Footprint: Axial
Power: 0.25W, 1/4W
Size: 0.067" Dia x 0.130" L (1.70mm x 3.30mm)
Temp_coeff: 0/ -850ppm/°C
Tolerance: ±5%
Value: 910 kOhms </t>
        </r>
      </text>
    </comment>
    <comment ref="R10" authorId="0">
      <text>
        <r>
          <rPr>
            <sz val="8"/>
            <color indexed="81"/>
            <rFont val="Tahoma"/>
            <family val="2"/>
          </rPr>
          <t>Qty/Price Breaks (GBP):
  Qty  -  Unit£  -  Ext£
================
    10   £0.03      £0.28
   100   £0.02      £1.68
   500   £0.01      £7.00
  1000   £0.01     £11.10
  2500   £0.01     £23.25
  5000   £0.01     £37.00</t>
        </r>
      </text>
    </comment>
    <comment ref="U10" authorId="0">
      <text>
        <r>
          <rPr>
            <sz val="8"/>
            <color indexed="81"/>
            <rFont val="Tahoma"/>
            <family val="2"/>
          </rPr>
          <t>Desc: YAGEO - CFR-25JR-52-10K - Through Hole Resistor, 10 kohm, CFR Series, 250 mW, ± 5%, Axial Leaded, 250 V
Power: 250 mW
Temp_coeff: -500ppm/°C to +350ppm/°C
Tolerance: ± 5%
Value: 10 kohm 
Voltage: 250 V</t>
        </r>
      </text>
    </comment>
    <comment ref="V10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X10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$0.02      $0.24
   100   $0.02      $1.80
   500   $0.02      $8.50
  1000   $0.01     $15.00
  5000   $0.01     $45.00
 10000   $0.01     $80.00</t>
        </r>
      </text>
    </comment>
    <comment ref="AA10" authorId="0">
      <text>
        <r>
          <rPr>
            <sz val="8"/>
            <color indexed="81"/>
            <rFont val="Tahoma"/>
            <family val="2"/>
          </rPr>
          <t>Desc: Carbon Film Resistors - Through Hole 10kOhms 250mW 350V 0 PPM/C to - 500 PPM/C 5%</t>
        </r>
      </text>
    </comment>
    <comment ref="AD10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$0.03      $0.32
    25   $0.03      $0.70
    50   $0.02      $1.20
   100   $0.02      $2.00
   500   $0.02      $9.00
  1000   $0.01     $15.00
  5000   $0.01     $55.00</t>
        </r>
      </text>
    </comment>
    <comment ref="AG10" authorId="0">
      <text>
        <r>
          <rPr>
            <sz val="8"/>
            <color indexed="81"/>
            <rFont val="Tahoma"/>
            <family val="2"/>
          </rPr>
          <t>Desc: YAGEO - CFR-25JR-52-10K - RES, 10K, 0.25W, AXIAL, CARBON ROHS COMPLIANT: YES
Power: 250 mW
Temp_coeff: -500ppm/°C to +350ppm/°C
Tolerance: ± 5%
Value: 10 kohm 
Voltage: 250 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L11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</t>
        </r>
      </text>
    </comment>
    <comment ref="O11" authorId="0">
      <text>
        <r>
          <rPr>
            <sz val="8"/>
            <color indexed="81"/>
            <rFont val="Tahoma"/>
            <family val="2"/>
          </rPr>
          <t xml:space="preserve">Desc: RES 910K OHM 5% 1/4W AXIAL
Footprint: Axial
Power: 0.25W, 1/4W
Size: 0.067" Dia x 0.130" L (1.70mm x 3.30mm)
Temp_coeff: 0/ -850ppm/°C
Tolerance: ±5%
Value: 910 kOhms </t>
        </r>
      </text>
    </comment>
    <comment ref="R11" authorId="0">
      <text>
        <r>
          <rPr>
            <sz val="8"/>
            <color indexed="81"/>
            <rFont val="Tahoma"/>
            <family val="2"/>
          </rPr>
          <t>Qty/Price Breaks (GBP):
  Qty  -  Unit£  -  Ext£
================
    10   £0.03      £0.28
   100   £0.02      £1.68
   500   £0.01      £7.00
  1000   £0.01     £11.10
  2500   £0.01     £23.25
  5000   £0.01     £37.00</t>
        </r>
      </text>
    </comment>
    <comment ref="U11" authorId="0">
      <text>
        <r>
          <rPr>
            <sz val="8"/>
            <color indexed="81"/>
            <rFont val="Tahoma"/>
            <family val="2"/>
          </rPr>
          <t>Desc: YAGEO - CFR-25JR-52-10K - Through Hole Resistor, 10 kohm, CFR Series, 250 mW, ± 5%, Axial Leaded, 250 V
Power: 250 mW
Temp_coeff: -500ppm/°C to +350ppm/°C
Tolerance: ± 5%
Value: 10 kohm 
Voltage: 250 V</t>
        </r>
      </text>
    </comment>
    <comment ref="V11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X11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$0.02      $0.24
   100   $0.02      $1.80
   500   $0.02      $8.50
  1000   $0.01     $15.00
  5000   $0.01     $45.00
 10000   $0.01     $80.00</t>
        </r>
      </text>
    </comment>
    <comment ref="AA11" authorId="0">
      <text>
        <r>
          <rPr>
            <sz val="8"/>
            <color indexed="81"/>
            <rFont val="Tahoma"/>
            <family val="2"/>
          </rPr>
          <t>Desc: Carbon Film Resistors - Through Hole 10kOhms 250mW 350V 0 PPM/C to - 500 PPM/C 5%</t>
        </r>
      </text>
    </comment>
    <comment ref="AD11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$0.03      $0.32
    25   $0.03      $0.70
    50   $0.02      $1.20
   100   $0.02      $2.00
   500   $0.02      $9.00
  1000   $0.01     $15.00
  5000   $0.01     $55.00</t>
        </r>
      </text>
    </comment>
    <comment ref="AG11" authorId="0">
      <text>
        <r>
          <rPr>
            <sz val="8"/>
            <color indexed="81"/>
            <rFont val="Tahoma"/>
            <family val="2"/>
          </rPr>
          <t>Desc: YAGEO - CFR-25JR-52-10K - RES, 10K, 0.25W, AXIAL, CARBON ROHS COMPLIANT: YES
Power: 250 mW
Temp_coeff: -500ppm/°C to +350ppm/°C
Tolerance: ± 5%
Value: 10 kohm 
Voltage: 250 V</t>
        </r>
      </text>
    </comment>
    <comment ref="L12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$0.03      $0.34
    25   $0.03      $0.71
    50   $0.02      $1.23
   100   $0.02      $2.17
   250   $0.02      $4.58
   500   $0.02      $8.13
  1000   $0.01     $14.48</t>
        </r>
      </text>
    </comment>
    <comment ref="O12" authorId="0">
      <text>
        <r>
          <rPr>
            <sz val="8"/>
            <color indexed="81"/>
            <rFont val="Tahoma"/>
            <family val="2"/>
          </rPr>
          <t xml:space="preserve">Desc: RES 100K OHM 5% 1/4W AXIAL
Footprint: Axial
Power: 0.25W, 1/4W
Size: 0.094" Dia x 0.248" L (2.40mm x 6.30mm)
Temp_coeff: 0/ -700ppm/°C
Tolerance: ±5%
Value: 100 kOhms </t>
        </r>
      </text>
    </comment>
    <comment ref="R12" authorId="0">
      <text>
        <r>
          <rPr>
            <sz val="8"/>
            <color indexed="81"/>
            <rFont val="Tahoma"/>
            <family val="2"/>
          </rPr>
          <t>Qty/Price Breaks (GBP):
  Qty  -  Unit£  -  Ext£
================
    10   £0.02      £0.22
   100   £0.02      £1.61
   500   £0.01      £7.25
  1000   £0.01     £12.90
  2500   £0.01     £25.50
  5000   £0.01     £37.50</t>
        </r>
      </text>
    </comment>
    <comment ref="U12" authorId="0">
      <text>
        <r>
          <rPr>
            <sz val="8"/>
            <color indexed="81"/>
            <rFont val="Tahoma"/>
            <family val="2"/>
          </rPr>
          <t>Desc: YAGEO - CFR-25JR-52-100K - Through Hole Resistor, 100 kohm, CFR Series, 250 mW, ± 5%, Axial Leaded, 250 V
Power: 250 mW
Temp_coeff: -700ppm/°C to 0ppm/°C
Tolerance: ± 5%
Value: 100 kohm 
Voltage: 250 V</t>
        </r>
      </text>
    </comment>
    <comment ref="V12" authorId="0">
      <text>
        <r>
          <rPr>
            <sz val="8"/>
            <color indexed="81"/>
            <rFont val="Tahoma"/>
            <family val="2"/>
          </rPr>
          <t>20002 In Stock</t>
        </r>
      </text>
    </comment>
    <comment ref="X12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$0.02      $0.23
   100   $0.02      $1.70
   500   $0.02      $8.00
  1000   $0.01     $15.00
  5000   $0.01     $45.00
 10000   $0.01     $80.00
 50000   $0.01    $350.00</t>
        </r>
      </text>
    </comment>
    <comment ref="AA12" authorId="0">
      <text>
        <r>
          <rPr>
            <sz val="8"/>
            <color indexed="81"/>
            <rFont val="Tahoma"/>
            <family val="2"/>
          </rPr>
          <t>Desc: Carbon Film Resistors - Through Hole 100K ohm 1/4W 5%</t>
        </r>
      </text>
    </comment>
    <comment ref="AD12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$0.10      $0.10
    10   $0.02      $0.23
    25   $0.02      $0.53
    50   $0.02      $0.95
   100   $0.02      $1.70
   500   $0.02      $8.00
  1000   $0.01     $15.00
  5000   $0.01     $45.00</t>
        </r>
      </text>
    </comment>
    <comment ref="AG12" authorId="0">
      <text>
        <r>
          <rPr>
            <sz val="8"/>
            <color indexed="81"/>
            <rFont val="Tahoma"/>
            <family val="2"/>
          </rPr>
          <t>Desc: YAGEO - CFR-25JR-52-100K - Through Hole Resistor, 100 kohm, CFR Series, 250 mW, ± 5%, Axial Leaded, 250 V
Power: 250 mW
Temp_coeff: -500ppm/°C to +350ppm/°C
Tolerance: ± 5%
Value: 100 kohm 
Voltage: 250 V</t>
        </r>
      </text>
    </comment>
    <comment ref="L14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$1.00      $1.00
    10   $0.72      $7.22
    50   $0.61     $30.44
   100   $0.57     $57.39
   250   $0.54    $134.24
   500   $0.51    $257.34
  1000   $0.50    $496.35
  2500   $0.48  $1,192.50
  5000   $0.47  $2,326.70</t>
        </r>
      </text>
    </comment>
    <comment ref="O14" authorId="0">
      <text>
        <r>
          <rPr>
            <sz val="8"/>
            <color indexed="81"/>
            <rFont val="Tahoma"/>
            <family val="2"/>
          </rPr>
          <t>Desc: IC OSC SINGLE TIMER 2.1MHZ 8-DIP
Footprint: 8-DIP (0.300", 7.62mm)
Frequency: 2.1MHz</t>
        </r>
      </text>
    </comment>
    <comment ref="R14" authorId="0">
      <text>
        <r>
          <rPr>
            <sz val="8"/>
            <color indexed="81"/>
            <rFont val="Tahoma"/>
            <family val="2"/>
          </rPr>
          <t>Qty/Price Breaks (GBP):
  Qty  -  Unit£  -  Ext£
================
     1   £0.73      £0.73
    10   £0.52      £5.21
   100   £0.41     £41.20
   500   £0.37    £184.50
  1000   £0.37    £367.00
  2500   £0.37    £915.00
  5000   £0.36  £1,820.00</t>
        </r>
      </text>
    </comment>
    <comment ref="U14" authorId="0">
      <text>
        <r>
          <rPr>
            <sz val="8"/>
            <color indexed="81"/>
            <rFont val="Tahoma"/>
            <family val="2"/>
          </rPr>
          <t>Desc: TEXAS INSTRUMENTS - TLC555CP - Timer, Precision, 2.1 MHz, 2 V to 15 V Supply, 0 to 70 °C, PDIP-8
Frequency: 2.1 MHz</t>
        </r>
      </text>
    </comment>
    <comment ref="V14" authorId="0">
      <text>
        <r>
          <rPr>
            <sz val="8"/>
            <color indexed="81"/>
            <rFont val="Tahoma"/>
            <family val="2"/>
          </rPr>
          <t>4498 In Stock</t>
        </r>
      </text>
    </comment>
    <comment ref="X14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$1.66      $1.66
    10   $1.06     $10.60
    25   $0.95     $23.75
   100   $0.78     $78.20
   250   $0.68    $170.50
   500   $0.65    $323.00
  1000   $0.54    $543.00
  4000   $0.49  $1,980.00
  8000   $0.44  $3,496.00</t>
        </r>
      </text>
    </comment>
    <comment ref="AA14" authorId="0">
      <text>
        <r>
          <rPr>
            <sz val="8"/>
            <color indexed="81"/>
            <rFont val="Tahoma"/>
            <family val="2"/>
          </rPr>
          <t>Desc: Timers &amp; Support Products CMOS</t>
        </r>
      </text>
    </comment>
    <comment ref="AD14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$0.93      $0.93
    10   $0.69      $6.89
   100   $0.56     $56.10
   500   $0.51    $255.00
  1000   $0.49    $493.00
  3000   $0.48  $1,431.00
 10000   $0.46  $4,600.00</t>
        </r>
      </text>
    </comment>
    <comment ref="AG14" authorId="0">
      <text>
        <r>
          <rPr>
            <sz val="8"/>
            <color indexed="81"/>
            <rFont val="Tahoma"/>
            <family val="2"/>
          </rPr>
          <t>Desc: TEXAS INSTRUMENTS - TLC555CP - TIMER, 0 TO 70DEG C, PDIP-8
Frequency: 2.1 MHz</t>
        </r>
      </text>
    </comment>
    <comment ref="H16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K16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Q16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W16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AC16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H17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<sst xmlns="http://schemas.openxmlformats.org/spreadsheetml/2006/main" count="159" uniqueCount="84">
  <si>
    <t>Global Part Info</t>
  </si>
  <si>
    <t>Refs</t>
  </si>
  <si>
    <t>Value</t>
  </si>
  <si>
    <t>Desc</t>
  </si>
  <si>
    <t>Footprint</t>
  </si>
  <si>
    <t>Manf</t>
  </si>
  <si>
    <t>Manf#</t>
  </si>
  <si>
    <t>Qty</t>
  </si>
  <si>
    <t>Unit$</t>
  </si>
  <si>
    <t>Ext$</t>
  </si>
  <si>
    <t>C1</t>
  </si>
  <si>
    <t>1uF</t>
  </si>
  <si>
    <t>CAP CERAMIC 0.01UF 50V C0G 1% TH</t>
  </si>
  <si>
    <t>C_Disc_D4.7mm_W2.5mm_P5.00mm</t>
  </si>
  <si>
    <t>KEMET</t>
  </si>
  <si>
    <t>CCR06CG103FS</t>
  </si>
  <si>
    <t>C2</t>
  </si>
  <si>
    <t>0.01uF</t>
  </si>
  <si>
    <t>Q1</t>
  </si>
  <si>
    <t>2N3904</t>
  </si>
  <si>
    <t>0.2A Ic, 40V Vce, Small Signal NPN Transistor, TO-92</t>
  </si>
  <si>
    <t>TO-92_Inline</t>
  </si>
  <si>
    <t>R1</t>
  </si>
  <si>
    <t>60K</t>
  </si>
  <si>
    <t>RES 10K OHM 5% 1/4W AXIAL</t>
  </si>
  <si>
    <t>R_Axial_DIN0411_L9.9mm_D3.6mm_P20.32mm_Horizontal</t>
  </si>
  <si>
    <t>YAGEO</t>
  </si>
  <si>
    <t>CFR-25JR-52-10K</t>
  </si>
  <si>
    <t>R2</t>
  </si>
  <si>
    <t>100K</t>
  </si>
  <si>
    <t>R3</t>
  </si>
  <si>
    <t>RES 100K OHM 5% 1/4W AXIAL</t>
  </si>
  <si>
    <t>CFR-25JR-52-100K</t>
  </si>
  <si>
    <t>TP1-TP4</t>
  </si>
  <si>
    <t>TestPoint_Probe</t>
  </si>
  <si>
    <t/>
  </si>
  <si>
    <t>PinHeader_1x01_P2.00mm_Vertical</t>
  </si>
  <si>
    <t>U1</t>
  </si>
  <si>
    <t>TLC555</t>
  </si>
  <si>
    <t>IC OSC SINGLE TIMER 2.1MHZ 8-DIP</t>
  </si>
  <si>
    <t>DIP-8_W7.62mm_LongPads</t>
  </si>
  <si>
    <t>Texas Instruments</t>
  </si>
  <si>
    <t>TLC555CP</t>
  </si>
  <si>
    <t>Digi-Key</t>
  </si>
  <si>
    <t>Avail</t>
  </si>
  <si>
    <t>Purch</t>
  </si>
  <si>
    <t>MOQ</t>
  </si>
  <si>
    <t>Cat#</t>
  </si>
  <si>
    <t>CCR06CG103FS-ND</t>
  </si>
  <si>
    <t>NonStk</t>
  </si>
  <si>
    <t>S910KQCT-ND</t>
  </si>
  <si>
    <t>13-CFR-25JR-52-100KCT-ND</t>
  </si>
  <si>
    <t>296-1857-5-ND</t>
  </si>
  <si>
    <t>Buy here</t>
  </si>
  <si>
    <t>Farnell</t>
  </si>
  <si>
    <t>3015643</t>
  </si>
  <si>
    <t>3951833</t>
  </si>
  <si>
    <t>3951804</t>
  </si>
  <si>
    <t>3006913</t>
  </si>
  <si>
    <t>Mouser</t>
  </si>
  <si>
    <t>581-CCR06CG103FS</t>
  </si>
  <si>
    <t>603-CFR-25JR-5210K</t>
  </si>
  <si>
    <t>603-CFR-25JR-52100K</t>
  </si>
  <si>
    <t>595-TLC555CP</t>
  </si>
  <si>
    <t>Newark</t>
  </si>
  <si>
    <t>48J8991</t>
  </si>
  <si>
    <t>31AK9412</t>
  </si>
  <si>
    <t>49AK5078</t>
  </si>
  <si>
    <t>28AH5371</t>
  </si>
  <si>
    <t>Total Purchase:</t>
  </si>
  <si>
    <t>Purchase description:</t>
  </si>
  <si>
    <t>Used currency rates:</t>
  </si>
  <si>
    <t>USD($)/GBP(£):</t>
  </si>
  <si>
    <t>Prj:</t>
  </si>
  <si>
    <t>555 Timer CAE Test Circuit</t>
  </si>
  <si>
    <t>Co.:</t>
  </si>
  <si>
    <t>Prj date:</t>
  </si>
  <si>
    <t>2025-06-04T11:39:15-0700</t>
  </si>
  <si>
    <t>Board Qty:</t>
  </si>
  <si>
    <t>Total Cost:</t>
  </si>
  <si>
    <t>Unit Cost:</t>
  </si>
  <si>
    <t>$ date:</t>
  </si>
  <si>
    <t>2025-06-04 11:43:37</t>
  </si>
  <si>
    <t>KiCost® v1.1.20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</si>
</sst>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09090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A2AE0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9" fillId="0" borderId="0" xfId="1" applyAlignment="1" applyProtection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5"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80FF80"/>
        </patternFill>
      </fill>
    </dxf>
    <dxf>
      <fill>
        <patternFill>
          <bgColor rgb="FFAAAAA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kemet/CCR06CG103FS/4444720" TargetMode="External"/><Relationship Id="rId2" Type="http://schemas.openxmlformats.org/officeDocument/2006/relationships/hyperlink" Target="https://uk.farnell.com/w/search?st=3015643" TargetMode="External"/><Relationship Id="rId3" Type="http://schemas.openxmlformats.org/officeDocument/2006/relationships/hyperlink" Target="https://www.mouser.com/ProductDetail/KYOCERA-AVX/CCR06CG103FS?qs=bs4VIC%2FFh1Bs7Lg3Gu%2Ft2w%3D%3D" TargetMode="External"/><Relationship Id="rId4" Type="http://schemas.openxmlformats.org/officeDocument/2006/relationships/hyperlink" Target="https://www.newark.com/w/search?st=48J8991" TargetMode="External"/><Relationship Id="rId5" Type="http://schemas.openxmlformats.org/officeDocument/2006/relationships/hyperlink" Target="https://www.digikey.com/en/products/detail/kemet/CCR06CG103FS/4444720" TargetMode="External"/><Relationship Id="rId6" Type="http://schemas.openxmlformats.org/officeDocument/2006/relationships/hyperlink" Target="https://uk.farnell.com/w/search?st=3015643" TargetMode="External"/><Relationship Id="rId7" Type="http://schemas.openxmlformats.org/officeDocument/2006/relationships/hyperlink" Target="https://www.mouser.com/ProductDetail/KYOCERA-AVX/CCR06CG103FS?qs=bs4VIC%2FFh1Bs7Lg3Gu%2Ft2w%3D%3D" TargetMode="External"/><Relationship Id="rId8" Type="http://schemas.openxmlformats.org/officeDocument/2006/relationships/hyperlink" Target="https://www.newark.com/w/search?st=48J8991" TargetMode="External"/><Relationship Id="rId9" Type="http://schemas.openxmlformats.org/officeDocument/2006/relationships/hyperlink" Target="https://www.digikey.com/en/products/detail/stackpole-electronics-inc/CFM14JT910K/1742301" TargetMode="External"/><Relationship Id="rId10" Type="http://schemas.openxmlformats.org/officeDocument/2006/relationships/hyperlink" Target="https://uk.farnell.com/w/search?st=3951833" TargetMode="External"/><Relationship Id="rId11" Type="http://schemas.openxmlformats.org/officeDocument/2006/relationships/hyperlink" Target="https://www.mouser.com/ProductDetail/YAGEO/CFR-25JR-52-10K?qs=KUIzHt%2Fe91kHJK7zdPAi0A%3D%3D" TargetMode="External"/><Relationship Id="rId12" Type="http://schemas.openxmlformats.org/officeDocument/2006/relationships/hyperlink" Target="https://www.newark.com/w/search?st=31AK9412" TargetMode="External"/><Relationship Id="rId13" Type="http://schemas.openxmlformats.org/officeDocument/2006/relationships/hyperlink" Target="https://www.digikey.com/en/products/detail/stackpole-electronics-inc/CFM14JT910K/1742301" TargetMode="External"/><Relationship Id="rId14" Type="http://schemas.openxmlformats.org/officeDocument/2006/relationships/hyperlink" Target="https://uk.farnell.com/w/search?st=3951833" TargetMode="External"/><Relationship Id="rId15" Type="http://schemas.openxmlformats.org/officeDocument/2006/relationships/hyperlink" Target="https://www.mouser.com/ProductDetail/YAGEO/CFR-25JR-52-10K?qs=KUIzHt%2Fe91kHJK7zdPAi0A%3D%3D" TargetMode="External"/><Relationship Id="rId16" Type="http://schemas.openxmlformats.org/officeDocument/2006/relationships/hyperlink" Target="https://www.newark.com/w/search?st=31AK9412" TargetMode="External"/><Relationship Id="rId17" Type="http://schemas.openxmlformats.org/officeDocument/2006/relationships/hyperlink" Target="https://www.digikey.com/en/products/detail/yageo/CFR-25JR-52-100K/12022" TargetMode="External"/><Relationship Id="rId18" Type="http://schemas.openxmlformats.org/officeDocument/2006/relationships/hyperlink" Target="https://uk.farnell.com/w/search?st=3951804" TargetMode="External"/><Relationship Id="rId19" Type="http://schemas.openxmlformats.org/officeDocument/2006/relationships/hyperlink" Target="https://www.mouser.com/ProductDetail/YAGEO/CFR-25JR-52-100K?qs=KUIzHt%2Fe91lllFJEWbd6ag%3D%3D" TargetMode="External"/><Relationship Id="rId20" Type="http://schemas.openxmlformats.org/officeDocument/2006/relationships/hyperlink" Target="https://www.newark.com/w/search?st=49AK5078" TargetMode="External"/><Relationship Id="rId21" Type="http://schemas.openxmlformats.org/officeDocument/2006/relationships/hyperlink" Target="https://www.digikey.com/en/products/detail/texas-instruments/TLC555CP/277502" TargetMode="External"/><Relationship Id="rId22" Type="http://schemas.openxmlformats.org/officeDocument/2006/relationships/hyperlink" Target="https://uk.farnell.com/w/search?st=3006913" TargetMode="External"/><Relationship Id="rId23" Type="http://schemas.openxmlformats.org/officeDocument/2006/relationships/hyperlink" Target="https://www.mouser.com/ProductDetail/Texas-Instruments/TLC555CP?qs=gb35HGp1gQKr83Vf%252BmVC1w%3D%3D" TargetMode="External"/><Relationship Id="rId24" Type="http://schemas.openxmlformats.org/officeDocument/2006/relationships/hyperlink" Target="https://www.newark.com/w/search?st=28AH5371" TargetMode="External"/><Relationship Id="rId25" Type="http://schemas.openxmlformats.org/officeDocument/2006/relationships/hyperlink" Target="https://www.digikey.com/ordering/shoppingcart" TargetMode="External"/><Relationship Id="rId26" Type="http://schemas.openxmlformats.org/officeDocument/2006/relationships/hyperlink" Target="https://fr.farnell.com/en-FR/quick-order?isQuickPaste=true" TargetMode="External"/><Relationship Id="rId27" Type="http://schemas.openxmlformats.org/officeDocument/2006/relationships/hyperlink" Target="https://mouser.com/bom/" TargetMode="External"/><Relationship Id="rId28" Type="http://schemas.openxmlformats.org/officeDocument/2006/relationships/hyperlink" Target="https://www.newark.com/quick-order?isQuickPaste=true" TargetMode="External"/><Relationship Id="rId29" Type="http://schemas.openxmlformats.org/officeDocument/2006/relationships/vmlDrawing" Target="../drawings/vmlDrawing1.vml"/><Relationship Id="rId3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>
      <pane xSplit="9" ySplit="6" topLeftCell="J7" activePane="bottomRight" state="frozen"/>
      <selection pane="topRight" activeCell="J1" sqref="J1"/>
      <selection pane="bottomLeft" activeCell="A7" sqref="A7"/>
      <selection pane="bottomRight"/>
    </sheetView>
  </sheetViews>
  <sheetFormatPr defaultRowHeight="15" outlineLevelCol="3"/>
  <cols>
    <col min="1" max="1" width="8.7109375" customWidth="1"/>
    <col min="2" max="2" width="16.7109375" customWidth="1"/>
    <col min="3" max="4" width="33.7109375" customWidth="1" outlineLevel="2"/>
    <col min="5" max="5" width="18.7109375" customWidth="1" outlineLevel="1"/>
    <col min="6" max="6" width="17.7109375" customWidth="1" outlineLevel="1"/>
    <col min="7" max="7" width="9.140625" outlineLevel="1"/>
    <col min="8" max="8" width="22.7109375" customWidth="1"/>
    <col min="9" max="9" width="16.7109375" customWidth="1"/>
    <col min="10" max="10" width="9.7109375" customWidth="1" outlineLevel="1"/>
    <col min="11" max="11" width="9.140625" outlineLevel="2"/>
    <col min="12" max="12" width="10.7109375" customWidth="1" outlineLevel="2"/>
    <col min="13" max="13" width="0" hidden="1" customWidth="1" outlineLevel="3" collapsed="1"/>
    <col min="14" max="14" width="16.7109375" customWidth="1"/>
    <col min="15" max="15" width="25.7109375" customWidth="1" outlineLevel="2"/>
    <col min="16" max="16" width="9.7109375" customWidth="1" outlineLevel="1"/>
    <col min="17" max="17" width="9.140625" outlineLevel="2"/>
    <col min="18" max="18" width="10.7109375" customWidth="1" outlineLevel="2"/>
    <col min="19" max="19" width="0" hidden="1" customWidth="1" outlineLevel="3" collapsed="1"/>
    <col min="20" max="20" width="16.7109375" customWidth="1"/>
    <col min="21" max="21" width="16.7109375" customWidth="1" outlineLevel="2"/>
    <col min="22" max="22" width="9.7109375" customWidth="1" outlineLevel="1"/>
    <col min="23" max="23" width="9.140625" outlineLevel="2"/>
    <col min="24" max="24" width="10.7109375" customWidth="1" outlineLevel="2"/>
    <col min="25" max="25" width="0" hidden="1" customWidth="1" outlineLevel="3" collapsed="1"/>
    <col min="26" max="26" width="16.7109375" customWidth="1"/>
    <col min="27" max="27" width="20.7109375" customWidth="1" outlineLevel="2"/>
    <col min="28" max="28" width="9.7109375" customWidth="1" outlineLevel="1"/>
    <col min="29" max="29" width="9.140625" outlineLevel="2"/>
    <col min="30" max="30" width="10.7109375" customWidth="1" outlineLevel="2"/>
    <col min="31" max="31" width="0" hidden="1" customWidth="1" outlineLevel="3" collapsed="1"/>
    <col min="32" max="32" width="16.7109375" customWidth="1"/>
    <col min="33" max="33" width="16.7109375" customWidth="1" outlineLevel="2"/>
  </cols>
  <sheetData>
    <row r="1" spans="1:33">
      <c r="A1" s="1" t="s">
        <v>73</v>
      </c>
      <c r="B1" s="2" t="s">
        <v>74</v>
      </c>
      <c r="H1" s="3" t="s">
        <v>78</v>
      </c>
      <c r="I1" s="3">
        <v>100</v>
      </c>
    </row>
    <row r="2" spans="1:33">
      <c r="A2" s="1" t="s">
        <v>75</v>
      </c>
      <c r="B2" s="2"/>
      <c r="H2" s="1" t="s">
        <v>80</v>
      </c>
      <c r="I2" s="4">
        <f>TotalCost/BoardQty</f>
        <v>13.042</v>
      </c>
    </row>
    <row r="3" spans="1:33">
      <c r="A3" s="1" t="s">
        <v>76</v>
      </c>
      <c r="B3" s="2" t="s">
        <v>77</v>
      </c>
      <c r="H3" s="1" t="s">
        <v>79</v>
      </c>
      <c r="I3" s="5">
        <f>SUM(I7:I14)</f>
        <v>1304.1966</v>
      </c>
      <c r="N3" s="5">
        <f>SUM(N7:N14)</f>
        <v>1322.76</v>
      </c>
      <c r="O3" s="6" t="str">
        <f>(COUNTA(N7:N14)&amp;" of "&amp;ROWS(N7:N14)&amp;" parts found")</f>
        <v>6 of 8 parts found</v>
      </c>
      <c r="T3" s="5">
        <f>SUM(T7:T14)</f>
        <v>1511.6076</v>
      </c>
      <c r="U3" s="6" t="str">
        <f>(COUNTA(T7:T14)&amp;" of "&amp;ROWS(T7:T14)&amp;" parts found")</f>
        <v>6 of 8 parts found</v>
      </c>
      <c r="Z3" s="5">
        <f>SUM(Z7:Z14)</f>
        <v>1739.5</v>
      </c>
      <c r="AA3" s="6" t="str">
        <f>(COUNTA(Z7:Z14)&amp;" of "&amp;ROWS(Z7:Z14)&amp;" parts found")</f>
        <v>6 of 8 parts found</v>
      </c>
      <c r="AF3" s="5">
        <f>SUM(AF7:AF14)</f>
        <v>2071.8</v>
      </c>
      <c r="AG3" s="6" t="str">
        <f>(COUNTA(AF7:AF14)&amp;" of "&amp;ROWS(AF7:AF14)&amp;" parts found")</f>
        <v>6 of 8 parts found</v>
      </c>
    </row>
    <row r="4" spans="1:33">
      <c r="A4" s="1" t="s">
        <v>81</v>
      </c>
      <c r="B4" s="2" t="s">
        <v>82</v>
      </c>
    </row>
    <row r="5" spans="1:33">
      <c r="A5" s="7" t="s">
        <v>0</v>
      </c>
      <c r="B5" s="7"/>
      <c r="C5" s="7"/>
      <c r="D5" s="7"/>
      <c r="E5" s="7"/>
      <c r="F5" s="7"/>
      <c r="G5" s="7"/>
      <c r="H5" s="7"/>
      <c r="I5" s="7"/>
      <c r="J5" s="8" t="s">
        <v>43</v>
      </c>
      <c r="K5" s="8"/>
      <c r="L5" s="8"/>
      <c r="M5" s="8"/>
      <c r="N5" s="8"/>
      <c r="O5" s="8"/>
      <c r="P5" s="9" t="s">
        <v>54</v>
      </c>
      <c r="Q5" s="9"/>
      <c r="R5" s="9"/>
      <c r="S5" s="9"/>
      <c r="T5" s="9"/>
      <c r="U5" s="9"/>
      <c r="V5" s="10" t="s">
        <v>59</v>
      </c>
      <c r="W5" s="10"/>
      <c r="X5" s="10"/>
      <c r="Y5" s="10"/>
      <c r="Z5" s="10"/>
      <c r="AA5" s="10"/>
      <c r="AB5" s="11" t="s">
        <v>64</v>
      </c>
      <c r="AC5" s="11"/>
      <c r="AD5" s="11"/>
      <c r="AE5" s="11"/>
      <c r="AF5" s="11"/>
      <c r="AG5" s="11"/>
    </row>
    <row r="6" spans="1:33">
      <c r="A6" s="12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44</v>
      </c>
      <c r="K6" s="12" t="s">
        <v>45</v>
      </c>
      <c r="L6" s="12" t="s">
        <v>8</v>
      </c>
      <c r="M6" s="12" t="s">
        <v>46</v>
      </c>
      <c r="N6" s="12" t="s">
        <v>9</v>
      </c>
      <c r="O6" s="12" t="s">
        <v>47</v>
      </c>
      <c r="P6" s="12" t="s">
        <v>44</v>
      </c>
      <c r="Q6" s="12" t="s">
        <v>45</v>
      </c>
      <c r="R6" s="12" t="s">
        <v>8</v>
      </c>
      <c r="S6" s="12" t="s">
        <v>46</v>
      </c>
      <c r="T6" s="12" t="s">
        <v>9</v>
      </c>
      <c r="U6" s="12" t="s">
        <v>47</v>
      </c>
      <c r="V6" s="12" t="s">
        <v>44</v>
      </c>
      <c r="W6" s="12" t="s">
        <v>45</v>
      </c>
      <c r="X6" s="12" t="s">
        <v>8</v>
      </c>
      <c r="Y6" s="12" t="s">
        <v>46</v>
      </c>
      <c r="Z6" s="12" t="s">
        <v>9</v>
      </c>
      <c r="AA6" s="12" t="s">
        <v>47</v>
      </c>
      <c r="AB6" s="12" t="s">
        <v>44</v>
      </c>
      <c r="AC6" s="12" t="s">
        <v>45</v>
      </c>
      <c r="AD6" s="12" t="s">
        <v>8</v>
      </c>
      <c r="AE6" s="12" t="s">
        <v>46</v>
      </c>
      <c r="AF6" s="12" t="s">
        <v>9</v>
      </c>
      <c r="AG6" s="12" t="s">
        <v>47</v>
      </c>
    </row>
    <row r="7" spans="1:33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>
        <f>CEILING(BoardQty*1.0,1)</f>
        <v>100</v>
      </c>
      <c r="H7" s="14">
        <f>IF(MIN(L7,R7,X7,AD7)&lt;&gt;0,MIN(L7,R7,X7,AD7),"")</f>
        <v>6.216</v>
      </c>
      <c r="I7" s="15">
        <f>IF(AND(ISNUMBER(G7),ISNUMBER(H7)),G7*H7,"")</f>
        <v>621.6</v>
      </c>
      <c r="J7" s="16" t="s">
        <v>49</v>
      </c>
      <c r="K7" s="13"/>
      <c r="L7" s="14">
        <f>IFERROR(IF(OR(K7&gt;=M7,G7&gt;=M7),LOOKUP(IF(K7="",G7,K7),{0,1,100},{0.0,6.216,6.216}),"MOQ="&amp;M7),"")</f>
        <v>6.216</v>
      </c>
      <c r="M7" s="13">
        <v>100</v>
      </c>
      <c r="N7" s="15">
        <f>IFERROR(IF(K7="",G7,K7)*L7,"")</f>
        <v>621.6</v>
      </c>
      <c r="O7" s="13" t="s">
        <v>48</v>
      </c>
      <c r="P7" s="16" t="s">
        <v>49</v>
      </c>
      <c r="Q7" s="13"/>
      <c r="R7" s="14">
        <f>IFERROR(IF(OR(Q7&gt;=S7,G7&gt;=S7),USD_GBP*LOOKUP(IF(Q7="",G7,Q7),{0,1,100},{0.0,5.36,5.36}),"MOQ="&amp;S7),"")</f>
        <v>7.245961287258047</v>
      </c>
      <c r="S7" s="13">
        <v>100</v>
      </c>
      <c r="T7" s="15">
        <f>IFERROR(IF(Q7="",G7,Q7)*R7,"")</f>
        <v>724.5961</v>
      </c>
      <c r="U7" s="13" t="s">
        <v>55</v>
      </c>
      <c r="V7" s="13">
        <v>237</v>
      </c>
      <c r="W7" s="13"/>
      <c r="X7" s="14">
        <f>IFERROR(IF(OR(W7&gt;=Y7,G7&gt;=Y7),LOOKUP(IF(W7="",G7,W7),{0,1,10,100,200},{0.0,12.7,9.8,8.28,8.27}),"MOQ="&amp;Y7),"")</f>
        <v>8.28</v>
      </c>
      <c r="Y7" s="13">
        <v>1</v>
      </c>
      <c r="Z7" s="15">
        <f>IFERROR(IF(W7="",G7,W7)*X7,"")</f>
        <v>828.0</v>
      </c>
      <c r="AA7" s="13" t="s">
        <v>60</v>
      </c>
      <c r="AB7" s="16" t="s">
        <v>49</v>
      </c>
      <c r="AC7" s="13"/>
      <c r="AD7" s="14">
        <f>IFERROR(IF(OR(AC7&gt;=AE7,G7&gt;=AE7),LOOKUP(IF(AC7="",G7,AC7),{0,1,10,25,50,100,250,500},{0.0,14.63,13.93,12.15,11.32,10.05,9.6,8.97}),"MOQ="&amp;AE7),"")</f>
        <v>10.05</v>
      </c>
      <c r="AE7" s="13">
        <v>1</v>
      </c>
      <c r="AF7" s="15">
        <f>IFERROR(IF(AC7="",G7,AC7)*AD7,"")</f>
        <v>1005.0</v>
      </c>
      <c r="AG7" s="13" t="s">
        <v>65</v>
      </c>
    </row>
    <row r="8" spans="1:33">
      <c r="A8" s="13" t="s">
        <v>16</v>
      </c>
      <c r="B8" s="13" t="s">
        <v>17</v>
      </c>
      <c r="C8" s="13" t="s">
        <v>12</v>
      </c>
      <c r="D8" s="13" t="s">
        <v>13</v>
      </c>
      <c r="E8" s="13" t="s">
        <v>14</v>
      </c>
      <c r="F8" s="13" t="s">
        <v>15</v>
      </c>
      <c r="G8" s="13">
        <f>CEILING(BoardQty*1.0,1)</f>
        <v>100</v>
      </c>
      <c r="H8" s="14">
        <f>IF(MIN(L8,R8,X8,AD8)&lt;&gt;0,MIN(L8,R8,X8,AD8),"")</f>
        <v>6.216</v>
      </c>
      <c r="I8" s="15">
        <f>IF(AND(ISNUMBER(G8),ISNUMBER(H8)),G8*H8,"")</f>
        <v>621.6</v>
      </c>
      <c r="J8" s="16" t="s">
        <v>49</v>
      </c>
      <c r="K8" s="13"/>
      <c r="L8" s="14">
        <f>IFERROR(IF(OR(K8&gt;=M8,G8&gt;=M8),LOOKUP(IF(K8="",G8,K8),{0,1,100},{0.0,6.216,6.216}),"MOQ="&amp;M8),"")</f>
        <v>6.216</v>
      </c>
      <c r="M8" s="13">
        <v>100</v>
      </c>
      <c r="N8" s="15">
        <f>IFERROR(IF(K8="",G8,K8)*L8,"")</f>
        <v>621.6</v>
      </c>
      <c r="O8" s="13" t="s">
        <v>48</v>
      </c>
      <c r="P8" s="16" t="s">
        <v>49</v>
      </c>
      <c r="Q8" s="13"/>
      <c r="R8" s="14">
        <f>IFERROR(IF(OR(Q8&gt;=S8,G8&gt;=S8),USD_GBP*LOOKUP(IF(Q8="",G8,Q8),{0,1,100},{0.0,5.36,5.36}),"MOQ="&amp;S8),"")</f>
        <v>7.245961287258047</v>
      </c>
      <c r="S8" s="13">
        <v>100</v>
      </c>
      <c r="T8" s="15">
        <f>IFERROR(IF(Q8="",G8,Q8)*R8,"")</f>
        <v>724.5961</v>
      </c>
      <c r="U8" s="13" t="s">
        <v>55</v>
      </c>
      <c r="V8" s="13">
        <v>237</v>
      </c>
      <c r="W8" s="13"/>
      <c r="X8" s="14">
        <f>IFERROR(IF(OR(W8&gt;=Y8,G8&gt;=Y8),LOOKUP(IF(W8="",G8,W8),{0,1,10,100,200},{0.0,12.7,9.8,8.28,8.27}),"MOQ="&amp;Y8),"")</f>
        <v>8.28</v>
      </c>
      <c r="Y8" s="13">
        <v>1</v>
      </c>
      <c r="Z8" s="15">
        <f>IFERROR(IF(W8="",G8,W8)*X8,"")</f>
        <v>828.0</v>
      </c>
      <c r="AA8" s="13" t="s">
        <v>60</v>
      </c>
      <c r="AB8" s="16" t="s">
        <v>49</v>
      </c>
      <c r="AC8" s="13"/>
      <c r="AD8" s="14">
        <f>IFERROR(IF(OR(AC8&gt;=AE8,G8&gt;=AE8),LOOKUP(IF(AC8="",G8,AC8),{0,1,10,25,50,100,250,500},{0.0,14.63,13.93,12.15,11.32,10.05,9.6,8.97}),"MOQ="&amp;AE8),"")</f>
        <v>10.05</v>
      </c>
      <c r="AE8" s="13">
        <v>1</v>
      </c>
      <c r="AF8" s="15">
        <f>IFERROR(IF(AC8="",G8,AC8)*AD8,"")</f>
        <v>1005.0</v>
      </c>
      <c r="AG8" s="13" t="s">
        <v>65</v>
      </c>
    </row>
    <row r="9" spans="1:33" ht="30" customHeight="1">
      <c r="A9" s="13" t="s">
        <v>18</v>
      </c>
      <c r="B9" s="13" t="s">
        <v>19</v>
      </c>
      <c r="C9" s="13" t="s">
        <v>20</v>
      </c>
      <c r="D9" s="13" t="s">
        <v>21</v>
      </c>
      <c r="G9" s="13">
        <f>CEILING(BoardQty*1,1)</f>
        <v>100</v>
      </c>
      <c r="H9" s="14">
        <f>IF(MIN(L9,R9,X9,AD9)&lt;&gt;0,MIN(L9,R9,X9,AD9),"")</f>
        <v/>
      </c>
      <c r="I9" s="15">
        <f>IF(AND(ISNUMBER(G9),ISNUMBER(H9)),G9*H9,"")</f>
        <v/>
      </c>
    </row>
    <row r="10" spans="1:33" ht="30" customHeight="1">
      <c r="A10" s="13" t="s">
        <v>22</v>
      </c>
      <c r="B10" s="13" t="s">
        <v>23</v>
      </c>
      <c r="C10" s="13" t="s">
        <v>24</v>
      </c>
      <c r="D10" s="13" t="s">
        <v>25</v>
      </c>
      <c r="E10" s="13" t="s">
        <v>26</v>
      </c>
      <c r="F10" s="13" t="s">
        <v>27</v>
      </c>
      <c r="G10" s="13">
        <f>CEILING(BoardQty*1.0,1)</f>
        <v>100</v>
      </c>
      <c r="H10" s="14">
        <f>IF(MIN(L10,R10,X10,AD10)&lt;&gt;0,MIN(L10,R10,X10,AD10),"")</f>
        <v>0.018</v>
      </c>
      <c r="I10" s="15">
        <f>IF(AND(ISNUMBER(G10),ISNUMBER(H10)),G10*H10,"")</f>
        <v>1.8</v>
      </c>
      <c r="J10" s="16" t="s">
        <v>49</v>
      </c>
      <c r="K10" s="13"/>
      <c r="L10" s="14">
        <f>IFERROR(IF(OR(K10&gt;=M10,G10&gt;=M10),LOOKUP(IF(K10="",G10,K10),{0,1},{0.0,0.1}),"MOQ="&amp;M10),"")</f>
        <v>0.1</v>
      </c>
      <c r="M10" s="13">
        <v>1</v>
      </c>
      <c r="N10" s="15">
        <f>IFERROR(IF(K10="",G10,K10)*L10,"")</f>
        <v>10.0</v>
      </c>
      <c r="O10" s="13" t="s">
        <v>50</v>
      </c>
      <c r="P10" s="13">
        <v>27080</v>
      </c>
      <c r="Q10" s="13"/>
      <c r="R10" s="14">
        <f>IFERROR(IF(OR(Q10&gt;=S10,G10&gt;=S10),USD_GBP*LOOKUP(IF(Q10="",G10,Q10),{0,1,10,100,500,1000,2500,5000},{0.0,0.0283,0.0283,0.0168,0.014,0.0111,0.0093,0.0074}),"MOQ="&amp;S10),"")</f>
        <v>0.02271122194513716</v>
      </c>
      <c r="S10" s="13">
        <v>10</v>
      </c>
      <c r="T10" s="15">
        <f>IFERROR(IF(Q10="",G10,Q10)*R10,"")</f>
        <v>2.2711</v>
      </c>
      <c r="U10" s="13" t="s">
        <v>56</v>
      </c>
      <c r="V10" s="16" t="s">
        <v>49</v>
      </c>
      <c r="W10" s="13"/>
      <c r="X10" s="14">
        <f>IFERROR(IF(OR(W10&gt;=Y10,G10&gt;=Y10),LOOKUP(IF(W10="",G10,W10),{0,1,10,100,500,1000,5000,10000},{0.0,0.1,0.024,0.018,0.017,0.015,0.009,0.008}),"MOQ="&amp;Y10),"")</f>
        <v>0.018</v>
      </c>
      <c r="Y10" s="13">
        <v>1</v>
      </c>
      <c r="Z10" s="15">
        <f>IFERROR(IF(W10="",G10,W10)*X10,"")</f>
        <v>1.8</v>
      </c>
      <c r="AA10" s="13" t="s">
        <v>61</v>
      </c>
      <c r="AB10" s="13">
        <v>28080</v>
      </c>
      <c r="AC10" s="13"/>
      <c r="AD10" s="14">
        <f>IFERROR(IF(OR(AC10&gt;=AE10,G10&gt;=AE10),LOOKUP(IF(AC10="",G10,AC10),{0,1,10,25,50,100,500,1000,5000},{0.0,0.102,0.032,0.028,0.024,0.02,0.018,0.015,0.011}),"MOQ="&amp;AE10),"")</f>
        <v>0.02</v>
      </c>
      <c r="AE10" s="13">
        <v>1</v>
      </c>
      <c r="AF10" s="15">
        <f>IFERROR(IF(AC10="",G10,AC10)*AD10,"")</f>
        <v>2.0</v>
      </c>
      <c r="AG10" s="13" t="s">
        <v>66</v>
      </c>
    </row>
    <row r="11" spans="1:33" ht="30" customHeight="1">
      <c r="A11" s="13" t="s">
        <v>28</v>
      </c>
      <c r="B11" s="13" t="s">
        <v>29</v>
      </c>
      <c r="C11" s="13" t="s">
        <v>24</v>
      </c>
      <c r="D11" s="13" t="s">
        <v>25</v>
      </c>
      <c r="E11" s="13" t="s">
        <v>26</v>
      </c>
      <c r="F11" s="13" t="s">
        <v>27</v>
      </c>
      <c r="G11" s="13">
        <f>CEILING(BoardQty*1.0,1)</f>
        <v>100</v>
      </c>
      <c r="H11" s="14">
        <f>IF(MIN(L11,R11,X11,AD11)&lt;&gt;0,MIN(L11,R11,X11,AD11),"")</f>
        <v>0.018</v>
      </c>
      <c r="I11" s="15">
        <f>IF(AND(ISNUMBER(G11),ISNUMBER(H11)),G11*H11,"")</f>
        <v>1.8</v>
      </c>
      <c r="J11" s="16" t="s">
        <v>49</v>
      </c>
      <c r="K11" s="13"/>
      <c r="L11" s="14">
        <f>IFERROR(IF(OR(K11&gt;=M11,G11&gt;=M11),LOOKUP(IF(K11="",G11,K11),{0,1},{0.0,0.1}),"MOQ="&amp;M11),"")</f>
        <v>0.1</v>
      </c>
      <c r="M11" s="13">
        <v>1</v>
      </c>
      <c r="N11" s="15">
        <f>IFERROR(IF(K11="",G11,K11)*L11,"")</f>
        <v>10.0</v>
      </c>
      <c r="O11" s="13" t="s">
        <v>50</v>
      </c>
      <c r="P11" s="13">
        <v>27080</v>
      </c>
      <c r="Q11" s="13"/>
      <c r="R11" s="14">
        <f>IFERROR(IF(OR(Q11&gt;=S11,G11&gt;=S11),USD_GBP*LOOKUP(IF(Q11="",G11,Q11),{0,1,10,100,500,1000,2500,5000},{0.0,0.0283,0.0283,0.0168,0.014,0.0111,0.0093,0.0074}),"MOQ="&amp;S11),"")</f>
        <v>0.02271122194513716</v>
      </c>
      <c r="S11" s="13">
        <v>10</v>
      </c>
      <c r="T11" s="15">
        <f>IFERROR(IF(Q11="",G11,Q11)*R11,"")</f>
        <v>2.2711</v>
      </c>
      <c r="U11" s="13" t="s">
        <v>56</v>
      </c>
      <c r="V11" s="16" t="s">
        <v>49</v>
      </c>
      <c r="W11" s="13"/>
      <c r="X11" s="14">
        <f>IFERROR(IF(OR(W11&gt;=Y11,G11&gt;=Y11),LOOKUP(IF(W11="",G11,W11),{0,1,10,100,500,1000,5000,10000},{0.0,0.1,0.024,0.018,0.017,0.015,0.009,0.008}),"MOQ="&amp;Y11),"")</f>
        <v>0.018</v>
      </c>
      <c r="Y11" s="13">
        <v>1</v>
      </c>
      <c r="Z11" s="15">
        <f>IFERROR(IF(W11="",G11,W11)*X11,"")</f>
        <v>1.8</v>
      </c>
      <c r="AA11" s="13" t="s">
        <v>61</v>
      </c>
      <c r="AB11" s="13">
        <v>28080</v>
      </c>
      <c r="AC11" s="13"/>
      <c r="AD11" s="14">
        <f>IFERROR(IF(OR(AC11&gt;=AE11,G11&gt;=AE11),LOOKUP(IF(AC11="",G11,AC11),{0,1,10,25,50,100,500,1000,5000},{0.0,0.102,0.032,0.028,0.024,0.02,0.018,0.015,0.011}),"MOQ="&amp;AE11),"")</f>
        <v>0.02</v>
      </c>
      <c r="AE11" s="13">
        <v>1</v>
      </c>
      <c r="AF11" s="15">
        <f>IFERROR(IF(AC11="",G11,AC11)*AD11,"")</f>
        <v>2.0</v>
      </c>
      <c r="AG11" s="13" t="s">
        <v>66</v>
      </c>
    </row>
    <row r="12" spans="1:33" ht="30" customHeight="1">
      <c r="A12" s="13" t="s">
        <v>30</v>
      </c>
      <c r="B12" s="13" t="s">
        <v>29</v>
      </c>
      <c r="C12" s="13" t="s">
        <v>31</v>
      </c>
      <c r="D12" s="13" t="s">
        <v>25</v>
      </c>
      <c r="E12" s="13" t="s">
        <v>26</v>
      </c>
      <c r="F12" s="13" t="s">
        <v>32</v>
      </c>
      <c r="G12" s="13">
        <f>CEILING(BoardQty*1.0,1)</f>
        <v>100</v>
      </c>
      <c r="H12" s="14">
        <f>IF(MIN(L12,R12,X12,AD12)&lt;&gt;0,MIN(L12,R12,X12,AD12),"")</f>
        <v>0.017</v>
      </c>
      <c r="I12" s="15">
        <f>IF(AND(ISNUMBER(G12),ISNUMBER(H12)),G12*H12,"")</f>
        <v>1.7</v>
      </c>
      <c r="J12" s="13">
        <v>44305</v>
      </c>
      <c r="K12" s="13"/>
      <c r="L12" s="14">
        <f>IFERROR(IF(OR(K12&gt;=M12,G12&gt;=M12),LOOKUP(IF(K12="",G12,K12),{0,1,10,25,50,100,250,500,1000},{0.0,0.1,0.034,0.0284,0.0246,0.0217,0.01832,0.01626,0.01448}),"MOQ="&amp;M12),"")</f>
        <v>0.0217</v>
      </c>
      <c r="M12" s="13">
        <v>1</v>
      </c>
      <c r="N12" s="15">
        <f>IFERROR(IF(K12="",G12,K12)*L12,"")</f>
        <v>2.17</v>
      </c>
      <c r="O12" s="13" t="s">
        <v>51</v>
      </c>
      <c r="P12" s="13">
        <v>2602</v>
      </c>
      <c r="Q12" s="13"/>
      <c r="R12" s="14">
        <f>IFERROR(IF(OR(Q12&gt;=S12,G12&gt;=S12),USD_GBP*LOOKUP(IF(Q12="",G12,Q12),{0,1,10,100,500,1000,2500,5000},{0.0,0.0221,0.0221,0.0161,0.0145,0.0129,0.0102,0.0075}),"MOQ="&amp;S12),"")</f>
        <v>0.021764921030756446</v>
      </c>
      <c r="S12" s="13">
        <v>10</v>
      </c>
      <c r="T12" s="15">
        <f>IFERROR(IF(Q12="",G12,Q12)*R12,"")</f>
        <v>2.1765</v>
      </c>
      <c r="U12" s="13" t="s">
        <v>57</v>
      </c>
      <c r="V12" s="13">
        <v>20002</v>
      </c>
      <c r="W12" s="13"/>
      <c r="X12" s="14">
        <f>IFERROR(IF(OR(W12&gt;=Y12,G12&gt;=Y12),LOOKUP(IF(W12="",G12,W12),{0,1,10,100,500,1000,5000,10000,50000},{0.0,0.1,0.023,0.017,0.016,0.015,0.009,0.008,0.007}),"MOQ="&amp;Y12),"")</f>
        <v>0.017</v>
      </c>
      <c r="Y12" s="13">
        <v>1</v>
      </c>
      <c r="Z12" s="15">
        <f>IFERROR(IF(W12="",G12,W12)*X12,"")</f>
        <v>1.7</v>
      </c>
      <c r="AA12" s="13" t="s">
        <v>62</v>
      </c>
      <c r="AB12" s="13">
        <v>4297</v>
      </c>
      <c r="AC12" s="13"/>
      <c r="AD12" s="14">
        <f>IFERROR(IF(OR(AC12&gt;=AE12,G12&gt;=AE12),LOOKUP(IF(AC12="",G12,AC12),{0,1,10,25,50,100,500,1000,5000},{0.0,0.1,0.023,0.021,0.019,0.017,0.016,0.015,0.009}),"MOQ="&amp;AE12),"")</f>
        <v>0.017</v>
      </c>
      <c r="AE12" s="13">
        <v>1</v>
      </c>
      <c r="AF12" s="15">
        <f>IFERROR(IF(AC12="",G12,AC12)*AD12,"")</f>
        <v>1.7</v>
      </c>
      <c r="AG12" s="13" t="s">
        <v>67</v>
      </c>
    </row>
    <row r="13" spans="1:33">
      <c r="A13" s="13" t="s">
        <v>33</v>
      </c>
      <c r="B13" s="13" t="s">
        <v>34</v>
      </c>
      <c r="C13" s="13" t="s">
        <v>35</v>
      </c>
      <c r="D13" s="13" t="s">
        <v>36</v>
      </c>
      <c r="G13" s="13">
        <f>CEILING(BoardQty*4,1)</f>
        <v>400</v>
      </c>
      <c r="H13" s="14">
        <f>IF(MIN(L13,R13,X13,AD13)&lt;&gt;0,MIN(L13,R13,X13,AD13),"")</f>
        <v/>
      </c>
      <c r="I13" s="15">
        <f>IF(AND(ISNUMBER(G13),ISNUMBER(H13)),G13*H13,"")</f>
        <v/>
      </c>
    </row>
    <row r="14" spans="1:33">
      <c r="A14" s="13" t="s">
        <v>37</v>
      </c>
      <c r="B14" s="13" t="s">
        <v>38</v>
      </c>
      <c r="C14" s="13" t="s">
        <v>39</v>
      </c>
      <c r="D14" s="13" t="s">
        <v>40</v>
      </c>
      <c r="E14" s="13" t="s">
        <v>41</v>
      </c>
      <c r="F14" s="13" t="s">
        <v>42</v>
      </c>
      <c r="G14" s="13">
        <f>CEILING(BoardQty*1.0,1)</f>
        <v>100</v>
      </c>
      <c r="H14" s="14">
        <f>IF(MIN(L14,R14,X14,AD14)&lt;&gt;0,MIN(L14,R14,X14,AD14),"")</f>
        <v>0.5569656810355065</v>
      </c>
      <c r="I14" s="15">
        <f>IF(AND(ISNUMBER(G14),ISNUMBER(H14)),G14*H14,"")</f>
        <v>55.6966</v>
      </c>
      <c r="J14" s="13">
        <v>5847</v>
      </c>
      <c r="K14" s="13"/>
      <c r="L14" s="14">
        <f>IFERROR(IF(OR(K14&gt;=M14,G14&gt;=M14),LOOKUP(IF(K14="",G14,K14),{0,1,10,50,100,250,500,1000,2500,5000},{0.0,1.0,0.722,0.6088,0.5739,0.53696,0.51468,0.49635,0.477,0.46534}),"MOQ="&amp;M14),"")</f>
        <v>0.5739</v>
      </c>
      <c r="M14" s="13">
        <v>1</v>
      </c>
      <c r="N14" s="15">
        <f>IFERROR(IF(K14="",G14,K14)*L14,"")</f>
        <v>57.39</v>
      </c>
      <c r="O14" s="13" t="s">
        <v>52</v>
      </c>
      <c r="P14" s="13">
        <v>1956</v>
      </c>
      <c r="Q14" s="13"/>
      <c r="R14" s="14">
        <f>IFERROR(IF(OR(Q14&gt;=S14,G14&gt;=S14),USD_GBP*LOOKUP(IF(Q14="",G14,Q14),{0,1,10,100,500,1000,2500,5000},{0.0,0.726,0.521,0.412,0.369,0.367,0.366,0.364}),"MOQ="&amp;S14),"")</f>
        <v>0.5569656810355065</v>
      </c>
      <c r="S14" s="13">
        <v>1</v>
      </c>
      <c r="T14" s="15">
        <f>IFERROR(IF(Q14="",G14,Q14)*R14,"")</f>
        <v>55.6966</v>
      </c>
      <c r="U14" s="13" t="s">
        <v>58</v>
      </c>
      <c r="V14" s="13">
        <v>4498</v>
      </c>
      <c r="W14" s="13"/>
      <c r="X14" s="14">
        <f>IFERROR(IF(OR(W14&gt;=Y14,G14&gt;=Y14),LOOKUP(IF(W14="",G14,W14),{0,1,10,25,100,250,500,1000,4000,8000},{0.0,1.66,1.06,0.95,0.782,0.682,0.646,0.543,0.495,0.437}),"MOQ="&amp;Y14),"")</f>
        <v>0.782</v>
      </c>
      <c r="Y14" s="13">
        <v>1</v>
      </c>
      <c r="Z14" s="15">
        <f>IFERROR(IF(W14="",G14,W14)*X14,"")</f>
        <v>78.2</v>
      </c>
      <c r="AA14" s="13" t="s">
        <v>63</v>
      </c>
      <c r="AB14" s="13">
        <v>1956</v>
      </c>
      <c r="AC14" s="13"/>
      <c r="AD14" s="14">
        <f>IFERROR(IF(OR(AC14&gt;=AE14,G14&gt;=AE14),LOOKUP(IF(AC14="",G14,AC14),{0,1,10,100,500,1000,3000,10000},{0.0,0.928,0.689,0.561,0.51,0.493,0.477,0.46}),"MOQ="&amp;AE14),"")</f>
        <v>0.561</v>
      </c>
      <c r="AE14" s="13">
        <v>1</v>
      </c>
      <c r="AF14" s="15">
        <f>IFERROR(IF(AC14="",G14,AC14)*AD14,"")</f>
        <v>56.1</v>
      </c>
      <c r="AG14" s="13" t="s">
        <v>68</v>
      </c>
    </row>
    <row r="16" spans="1:33">
      <c r="B16" s="17" t="s">
        <v>71</v>
      </c>
      <c r="H16" s="1" t="s">
        <v>69</v>
      </c>
      <c r="I16" s="5">
        <f>SUM(N16,T16,Z16,AF16)</f>
        <v>0</v>
      </c>
      <c r="J16" s="18" t="s">
        <v>53</v>
      </c>
      <c r="K16" s="6">
        <f>IFERROR(IF(COUNTIF(K7:K14,"&gt;0")&gt;0,COUNTIF(K7:K14,"&gt;0")&amp;" of "&amp;(ROWS(M7:M14)-COUNTBLANK(M7:M14))&amp;" parts purchased",""),"")</f>
        <v/>
      </c>
      <c r="N16" s="5">
        <f>SUMIF(K7:K14,"&gt;0",N7:N14)</f>
        <v>0</v>
      </c>
      <c r="P16" s="18" t="s">
        <v>53</v>
      </c>
      <c r="Q16" s="6">
        <f>IFERROR(IF(COUNTIF(Q7:Q14,"&gt;0")&gt;0,COUNTIF(Q7:Q14,"&gt;0")&amp;" of "&amp;(ROWS(S7:S14)-COUNTBLANK(S7:S14))&amp;" parts purchased",""),"")</f>
        <v/>
      </c>
      <c r="T16" s="5">
        <f>SUMIF(Q7:Q14,"&gt;0",T7:T14)</f>
        <v>0</v>
      </c>
      <c r="V16" s="18" t="s">
        <v>53</v>
      </c>
      <c r="W16" s="6">
        <f>IFERROR(IF(COUNTIF(W7:W14,"&gt;0")&gt;0,COUNTIF(W7:W14,"&gt;0")&amp;" of "&amp;(ROWS(Y7:Y14)-COUNTBLANK(Y7:Y14))&amp;" parts purchased",""),"")</f>
        <v/>
      </c>
      <c r="Z16" s="5">
        <f>SUMIF(W7:W14,"&gt;0",Z7:Z14)</f>
        <v>0</v>
      </c>
      <c r="AB16" s="18" t="s">
        <v>53</v>
      </c>
      <c r="AC16" s="6">
        <f>IFERROR(IF(COUNTIF(AC7:AC14,"&gt;0")&gt;0,COUNTIF(AC7:AC14,"&gt;0")&amp;" of "&amp;(ROWS(AE7:AE14)-COUNTBLANK(AE7:AE14))&amp;" parts purchased",""),"")</f>
        <v/>
      </c>
      <c r="AF16" s="5">
        <f>SUMIF(AC7:AC14,"&gt;0",AF7:AF14)</f>
        <v>0</v>
      </c>
    </row>
    <row r="17" spans="1:29">
      <c r="B17" s="17" t="s">
        <v>72</v>
      </c>
      <c r="C17">
        <v>1.351858449115307</v>
      </c>
      <c r="H17" s="17" t="s">
        <v>70</v>
      </c>
      <c r="K17" s="19">
        <f>CONCATENATE(K26,K27,K28,K29,K30,K31,K32,K33)</f>
        <v/>
      </c>
      <c r="Q17" s="19">
        <f>CONCATENATE(Q26,Q27,Q28,Q29,Q30,Q31,Q32,Q33)</f>
        <v/>
      </c>
      <c r="W17" s="19">
        <f>CONCATENATE(W26,W27,W28,W29,W30,W31,W32,W33)</f>
        <v/>
      </c>
      <c r="AC17" s="19">
        <f>CONCATENATE(AC26,AC27,AC28,AC29,AC30,AC31,AC32,AC33)</f>
        <v/>
      </c>
    </row>
    <row r="19" spans="1:29">
      <c r="A19" s="2" t="s">
        <v>83</v>
      </c>
    </row>
    <row r="26" spans="1:29" ht="30" hidden="1" customHeight="1">
      <c r="K26" t="str">
        <f t="array" ref="K26:K33">IF(ISNUMBER(K7:K14)*(K7:K14&gt;=M7:M14)*(O7:O14&lt;&gt;""),TEXT(ROUNDUP(K7:K14/IF(ISNUMBER(M7:M14),M7:M14,1),0)*M7:M14,"##0")&amp;","&amp;O7:O14&amp;","&amp;SUBSTITUTE(SUBSTITUTE(IF(PURCHASE_DESCRIPTION&lt;&gt;"",PURCHASE_DESCRIPTION&amp;":","")&amp;A7:A14,",",";"),"
"," ")&amp;CHAR(10),"")</f>
        <v/>
      </c>
      <c r="Q26" t="str">
        <f t="array" ref="Q26:Q33">IF(ISNUMBER(Q7:Q14)*(Q7:Q14&gt;=S7:S14)*(U7:U14&lt;&gt;""),U7:U14&amp;","&amp;TEXT(ROUNDUP(Q7:Q14/IF(ISNUMBER(S7:S14),S7:S14,1),0)*S7:S14,"##0")&amp;","&amp;LEFT(SUBSTITUTE(SUBSTITUTE(IF(PURCHASE_DESCRIPTION&lt;&gt;"",PURCHASE_DESCRIPTION&amp;":","")&amp;C7:C14,",",";"),"
"," "),30)&amp;","&amp;LEFT(SUBSTITUTE(SUBSTITUTE(IF(PURCHASE_DESCRIPTION&lt;&gt;"",PURCHASE_DESCRIPTION&amp;":","")&amp;A7:A14,",",";"),"
"," "),30)&amp;CHAR(10),"")</f>
        <v/>
      </c>
      <c r="W26" t="str">
        <f t="array" ref="W26:W33">IF(ISNUMBER(W7:W14)*(W7:W14&gt;=Y7:Y14)*(AA7:AA14&lt;&gt;""),AA7:AA14&amp;"|"&amp;TEXT(ROUNDUP(W7:W14/IF(ISNUMBER(Y7:Y14),Y7:Y14,1),0)*Y7:Y14,"##0")&amp;"|"&amp;SUBSTITUTE(SUBSTITUTE(SUBSTITUTE(IF(PURCHASE_DESCRIPTION&lt;&gt;"",PURCHASE_DESCRIPTION&amp;":","")&amp;A7:A14,"|",";")," ","_"),"
","_")&amp;CHAR(10),"")</f>
        <v/>
      </c>
      <c r="AC26" t="str">
        <f t="array" ref="AC26:AC33">IF(ISNUMBER(AC7:AC14)*(AC7:AC14&gt;=AE7:AE14)*(AG7:AG14&lt;&gt;""),AG7:AG14&amp;","&amp;TEXT(ROUNDUP(AC7:AC14/IF(ISNUMBER(AE7:AE14),AE7:AE14,1),0)*AE7:AE14,"##0")&amp;","&amp;SUBSTITUTE(SUBSTITUTE(IF(PURCHASE_DESCRIPTION&lt;&gt;"",PURCHASE_DESCRIPTION&amp;":","")&amp;A7:A14,",",";"),"
"," ")&amp;","&amp;SUBSTITUTE(SUBSTITUTE(IF(PURCHASE_DESCRIPTION&lt;&gt;"",PURCHASE_DESCRIPTION&amp;":","")&amp;C7:C14,",",";"),"
"," ")&amp;CHAR(10),"")</f>
        <v/>
      </c>
    </row>
    <row r="27" spans="1:29" ht="30" hidden="1" customHeight="1">
      <c r="K27">
        <v>0</v>
      </c>
      <c r="Q27">
        <v>0</v>
      </c>
      <c r="W27">
        <v>0</v>
      </c>
      <c r="AC27">
        <v>0</v>
      </c>
    </row>
    <row r="28" spans="1:29" ht="30" hidden="1" customHeight="1">
      <c r="K28">
        <v>0</v>
      </c>
      <c r="Q28">
        <v>0</v>
      </c>
      <c r="W28">
        <v>0</v>
      </c>
      <c r="AC28">
        <v>0</v>
      </c>
    </row>
    <row r="29" spans="1:29" ht="30" hidden="1" customHeight="1">
      <c r="K29">
        <v>0</v>
      </c>
      <c r="Q29">
        <v>0</v>
      </c>
      <c r="W29">
        <v>0</v>
      </c>
      <c r="AC29">
        <v>0</v>
      </c>
    </row>
    <row r="30" spans="1:29" ht="30" hidden="1" customHeight="1">
      <c r="K30">
        <v>0</v>
      </c>
      <c r="Q30">
        <v>0</v>
      </c>
      <c r="W30">
        <v>0</v>
      </c>
      <c r="AC30">
        <v>0</v>
      </c>
    </row>
    <row r="31" spans="1:29" ht="30" hidden="1" customHeight="1">
      <c r="K31">
        <v>0</v>
      </c>
      <c r="Q31">
        <v>0</v>
      </c>
      <c r="W31">
        <v>0</v>
      </c>
      <c r="AC31">
        <v>0</v>
      </c>
    </row>
    <row r="32" spans="1:29" ht="30" hidden="1" customHeight="1">
      <c r="K32">
        <v>0</v>
      </c>
      <c r="Q32">
        <v>0</v>
      </c>
      <c r="W32">
        <v>0</v>
      </c>
      <c r="AC32">
        <v>0</v>
      </c>
    </row>
    <row r="33" spans="11:29" ht="30" hidden="1" customHeight="1">
      <c r="K33">
        <v>0</v>
      </c>
      <c r="Q33">
        <v>0</v>
      </c>
      <c r="W33">
        <v>0</v>
      </c>
      <c r="AC33">
        <v>0</v>
      </c>
    </row>
  </sheetData>
  <mergeCells count="9">
    <mergeCell ref="A5:I5"/>
    <mergeCell ref="J5:O5"/>
    <mergeCell ref="K17:N25"/>
    <mergeCell ref="P5:U5"/>
    <mergeCell ref="Q17:T25"/>
    <mergeCell ref="V5:AA5"/>
    <mergeCell ref="W17:Z25"/>
    <mergeCell ref="AB5:AG5"/>
    <mergeCell ref="AC17:AF25"/>
  </mergeCells>
  <conditionalFormatting sqref="AB10">
    <cfRule type="cellIs" dxfId="0" priority="88" operator="lessThan">
      <formula>G10</formula>
    </cfRule>
  </conditionalFormatting>
  <conditionalFormatting sqref="AB11">
    <cfRule type="cellIs" dxfId="0" priority="92" operator="lessThan">
      <formula>G11</formula>
    </cfRule>
  </conditionalFormatting>
  <conditionalFormatting sqref="AB12">
    <cfRule type="cellIs" dxfId="0" priority="96" operator="lessThan">
      <formula>G12</formula>
    </cfRule>
  </conditionalFormatting>
  <conditionalFormatting sqref="AB14">
    <cfRule type="cellIs" dxfId="0" priority="100" operator="lessThan">
      <formula>G14</formula>
    </cfRule>
  </conditionalFormatting>
  <conditionalFormatting sqref="AB7">
    <cfRule type="cellIs" dxfId="0" priority="80" operator="lessThan">
      <formula>G7</formula>
    </cfRule>
  </conditionalFormatting>
  <conditionalFormatting sqref="AB8">
    <cfRule type="cellIs" dxfId="0" priority="84" operator="lessThan">
      <formula>G8</formula>
    </cfRule>
  </conditionalFormatting>
  <conditionalFormatting sqref="AC10">
    <cfRule type="expression" dxfId="2" priority="89">
      <formula>AND(NOT(ISBLANK(AC10)),OR(AB10="NonStk",AC10&gt;AB10))</formula>
    </cfRule>
  </conditionalFormatting>
  <conditionalFormatting sqref="AC11">
    <cfRule type="expression" dxfId="2" priority="93">
      <formula>AND(NOT(ISBLANK(AC11)),OR(AB11="NonStk",AC11&gt;AB11))</formula>
    </cfRule>
  </conditionalFormatting>
  <conditionalFormatting sqref="AC12">
    <cfRule type="expression" dxfId="2" priority="97">
      <formula>AND(NOT(ISBLANK(AC12)),OR(AB12="NonStk",AC12&gt;AB12))</formula>
    </cfRule>
  </conditionalFormatting>
  <conditionalFormatting sqref="AC14">
    <cfRule type="expression" dxfId="2" priority="101">
      <formula>AND(NOT(ISBLANK(AC14)),OR(AB14="NonStk",AC14&gt;AB14))</formula>
    </cfRule>
  </conditionalFormatting>
  <conditionalFormatting sqref="AC7">
    <cfRule type="expression" dxfId="2" priority="81">
      <formula>AND(NOT(ISBLANK(AC7)),OR(AB7="NonStk",AC7&gt;AB7))</formula>
    </cfRule>
  </conditionalFormatting>
  <conditionalFormatting sqref="AC8">
    <cfRule type="expression" dxfId="2" priority="85">
      <formula>AND(NOT(ISBLANK(AC8)),OR(AB8="NonStk",AC8&gt;AB8))</formula>
    </cfRule>
  </conditionalFormatting>
  <conditionalFormatting sqref="AD10">
    <cfRule type="cellIs" dxfId="3" priority="91" operator="lessThanOrEqual">
      <formula>H10</formula>
    </cfRule>
  </conditionalFormatting>
  <conditionalFormatting sqref="AD11">
    <cfRule type="cellIs" dxfId="3" priority="95" operator="lessThanOrEqual">
      <formula>H11</formula>
    </cfRule>
  </conditionalFormatting>
  <conditionalFormatting sqref="AD12">
    <cfRule type="cellIs" dxfId="3" priority="99" operator="lessThanOrEqual">
      <formula>H12</formula>
    </cfRule>
  </conditionalFormatting>
  <conditionalFormatting sqref="AD14">
    <cfRule type="cellIs" dxfId="3" priority="103" operator="lessThanOrEqual">
      <formula>H14</formula>
    </cfRule>
  </conditionalFormatting>
  <conditionalFormatting sqref="AD7">
    <cfRule type="cellIs" dxfId="3" priority="83" operator="lessThanOrEqual">
      <formula>H7</formula>
    </cfRule>
  </conditionalFormatting>
  <conditionalFormatting sqref="AD8">
    <cfRule type="cellIs" dxfId="3" priority="87" operator="lessThanOrEqual">
      <formula>H8</formula>
    </cfRule>
  </conditionalFormatting>
  <conditionalFormatting sqref="AF10">
    <cfRule type="cellIs" dxfId="3" priority="90" operator="lessThanOrEqual">
      <formula>I10</formula>
    </cfRule>
  </conditionalFormatting>
  <conditionalFormatting sqref="AF11">
    <cfRule type="cellIs" dxfId="3" priority="94" operator="lessThanOrEqual">
      <formula>I11</formula>
    </cfRule>
  </conditionalFormatting>
  <conditionalFormatting sqref="AF12">
    <cfRule type="cellIs" dxfId="3" priority="98" operator="lessThanOrEqual">
      <formula>I12</formula>
    </cfRule>
  </conditionalFormatting>
  <conditionalFormatting sqref="AF14">
    <cfRule type="cellIs" dxfId="3" priority="102" operator="lessThanOrEqual">
      <formula>I14</formula>
    </cfRule>
  </conditionalFormatting>
  <conditionalFormatting sqref="AF7">
    <cfRule type="cellIs" dxfId="3" priority="82" operator="lessThanOrEqual">
      <formula>I7</formula>
    </cfRule>
  </conditionalFormatting>
  <conditionalFormatting sqref="AF8">
    <cfRule type="cellIs" dxfId="3" priority="86" operator="lessThanOrEqual">
      <formula>I8</formula>
    </cfRule>
  </conditionalFormatting>
  <conditionalFormatting sqref="G10">
    <cfRule type="expression" dxfId="4" priority="116">
      <formula>AND(ISBLANK(F10),ISBLANK(N10),ISBLANK(T10),ISBLANK(Z10),ISBLANK(AF10))</formula>
    </cfRule>
    <cfRule type="expression" dxfId="2" priority="117">
      <formula>IF(SUM(J10,P10,V10,AB10)=0,1,0)</formula>
    </cfRule>
    <cfRule type="cellIs" dxfId="0" priority="118" operator="greaterThan">
      <formula>SUM(J10,P10,V10,AB10)</formula>
    </cfRule>
    <cfRule type="cellIs" dxfId="1" priority="119" operator="greaterThan">
      <formula>SUM(IF(ISNUMBER(L10),K10,0),IF(ISNUMBER(R10),Q10,0),IF(ISNUMBER(X10),W10,0),IF(ISNUMBER(AD10),AC10,0))</formula>
    </cfRule>
  </conditionalFormatting>
  <conditionalFormatting sqref="G11">
    <cfRule type="expression" dxfId="4" priority="120">
      <formula>AND(ISBLANK(F11),ISBLANK(N11),ISBLANK(T11),ISBLANK(Z11),ISBLANK(AF11))</formula>
    </cfRule>
    <cfRule type="expression" dxfId="2" priority="121">
      <formula>IF(SUM(J11,P11,V11,AB11)=0,1,0)</formula>
    </cfRule>
    <cfRule type="cellIs" dxfId="0" priority="122" operator="greaterThan">
      <formula>SUM(J11,P11,V11,AB11)</formula>
    </cfRule>
    <cfRule type="cellIs" dxfId="1" priority="123" operator="greaterThan">
      <formula>SUM(IF(ISNUMBER(L11),K11,0),IF(ISNUMBER(R11),Q11,0),IF(ISNUMBER(X11),W11,0),IF(ISNUMBER(AD11),AC11,0))</formula>
    </cfRule>
  </conditionalFormatting>
  <conditionalFormatting sqref="G12">
    <cfRule type="expression" dxfId="4" priority="124">
      <formula>AND(ISBLANK(F12),ISBLANK(N12),ISBLANK(T12),ISBLANK(Z12),ISBLANK(AF12))</formula>
    </cfRule>
    <cfRule type="expression" dxfId="2" priority="125">
      <formula>IF(SUM(J12,P12,V12,AB12)=0,1,0)</formula>
    </cfRule>
    <cfRule type="cellIs" dxfId="0" priority="126" operator="greaterThan">
      <formula>SUM(J12,P12,V12,AB12)</formula>
    </cfRule>
    <cfRule type="cellIs" dxfId="1" priority="127" operator="greaterThan">
      <formula>SUM(IF(ISNUMBER(L12),K12,0),IF(ISNUMBER(R12),Q12,0),IF(ISNUMBER(X12),W12,0),IF(ISNUMBER(AD12),AC12,0))</formula>
    </cfRule>
  </conditionalFormatting>
  <conditionalFormatting sqref="G13">
    <cfRule type="expression" dxfId="4" priority="128">
      <formula>AND(ISBLANK(F13),ISBLANK(N13),ISBLANK(T13),ISBLANK(Z13),ISBLANK(AF13))</formula>
    </cfRule>
    <cfRule type="expression" dxfId="2" priority="129">
      <formula>IF(SUM(J13,P13,V13,AB13)=0,1,0)</formula>
    </cfRule>
    <cfRule type="cellIs" dxfId="0" priority="130" operator="greaterThan">
      <formula>SUM(J13,P13,V13,AB13)</formula>
    </cfRule>
    <cfRule type="cellIs" dxfId="1" priority="131" operator="greaterThan">
      <formula>SUM(IF(ISNUMBER(L13),K13,0),IF(ISNUMBER(R13),Q13,0),IF(ISNUMBER(X13),W13,0),IF(ISNUMBER(AD13),AC13,0))</formula>
    </cfRule>
  </conditionalFormatting>
  <conditionalFormatting sqref="G14">
    <cfRule type="expression" dxfId="4" priority="132">
      <formula>AND(ISBLANK(F14),ISBLANK(N14),ISBLANK(T14),ISBLANK(Z14),ISBLANK(AF14))</formula>
    </cfRule>
    <cfRule type="expression" dxfId="2" priority="133">
      <formula>IF(SUM(J14,P14,V14,AB14)=0,1,0)</formula>
    </cfRule>
    <cfRule type="cellIs" dxfId="0" priority="134" operator="greaterThan">
      <formula>SUM(J14,P14,V14,AB14)</formula>
    </cfRule>
    <cfRule type="cellIs" dxfId="1" priority="135" operator="greaterThan">
      <formula>SUM(IF(ISNUMBER(L14),K14,0),IF(ISNUMBER(R14),Q14,0),IF(ISNUMBER(X14),W14,0),IF(ISNUMBER(AD14),AC14,0))</formula>
    </cfRule>
  </conditionalFormatting>
  <conditionalFormatting sqref="G7">
    <cfRule type="expression" dxfId="4" priority="104">
      <formula>AND(ISBLANK(F7),ISBLANK(N7),ISBLANK(T7),ISBLANK(Z7),ISBLANK(AF7))</formula>
    </cfRule>
    <cfRule type="expression" dxfId="2" priority="105">
      <formula>IF(SUM(J7,P7,V7,AB7)=0,1,0)</formula>
    </cfRule>
    <cfRule type="cellIs" dxfId="0" priority="106" operator="greaterThan">
      <formula>SUM(J7,P7,V7,AB7)</formula>
    </cfRule>
    <cfRule type="cellIs" dxfId="1" priority="107" operator="greaterThan">
      <formula>SUM(IF(ISNUMBER(L7),K7,0),IF(ISNUMBER(R7),Q7,0),IF(ISNUMBER(X7),W7,0),IF(ISNUMBER(AD7),AC7,0))</formula>
    </cfRule>
  </conditionalFormatting>
  <conditionalFormatting sqref="G8">
    <cfRule type="expression" dxfId="4" priority="108">
      <formula>AND(ISBLANK(F8),ISBLANK(N8),ISBLANK(T8),ISBLANK(Z8),ISBLANK(AF8))</formula>
    </cfRule>
    <cfRule type="expression" dxfId="2" priority="109">
      <formula>IF(SUM(J8,P8,V8,AB8)=0,1,0)</formula>
    </cfRule>
    <cfRule type="cellIs" dxfId="0" priority="110" operator="greaterThan">
      <formula>SUM(J8,P8,V8,AB8)</formula>
    </cfRule>
    <cfRule type="cellIs" dxfId="1" priority="111" operator="greaterThan">
      <formula>SUM(IF(ISNUMBER(L8),K8,0),IF(ISNUMBER(R8),Q8,0),IF(ISNUMBER(X8),W8,0),IF(ISNUMBER(AD8),AC8,0))</formula>
    </cfRule>
  </conditionalFormatting>
  <conditionalFormatting sqref="G9">
    <cfRule type="expression" dxfId="4" priority="112">
      <formula>AND(ISBLANK(F9),ISBLANK(N9),ISBLANK(T9),ISBLANK(Z9),ISBLANK(AF9))</formula>
    </cfRule>
    <cfRule type="expression" dxfId="2" priority="113">
      <formula>IF(SUM(J9,P9,V9,AB9)=0,1,0)</formula>
    </cfRule>
    <cfRule type="cellIs" dxfId="0" priority="114" operator="greaterThan">
      <formula>SUM(J9,P9,V9,AB9)</formula>
    </cfRule>
    <cfRule type="cellIs" dxfId="1" priority="115" operator="greaterThan">
      <formula>SUM(IF(ISNUMBER(L9),K9,0),IF(ISNUMBER(R9),Q9,0),IF(ISNUMBER(X9),W9,0),IF(ISNUMBER(AD9),AC9,0))</formula>
    </cfRule>
  </conditionalFormatting>
  <conditionalFormatting sqref="J10">
    <cfRule type="cellIs" dxfId="0" priority="11" operator="lessThan">
      <formula>G10</formula>
    </cfRule>
  </conditionalFormatting>
  <conditionalFormatting sqref="J11">
    <cfRule type="cellIs" dxfId="0" priority="15" operator="lessThan">
      <formula>G11</formula>
    </cfRule>
  </conditionalFormatting>
  <conditionalFormatting sqref="J12">
    <cfRule type="cellIs" dxfId="0" priority="19" operator="lessThan">
      <formula>G12</formula>
    </cfRule>
  </conditionalFormatting>
  <conditionalFormatting sqref="J14">
    <cfRule type="cellIs" dxfId="0" priority="23" operator="lessThan">
      <formula>G14</formula>
    </cfRule>
  </conditionalFormatting>
  <conditionalFormatting sqref="J7">
    <cfRule type="cellIs" dxfId="0" priority="1" operator="lessThan">
      <formula>G7</formula>
    </cfRule>
  </conditionalFormatting>
  <conditionalFormatting sqref="J8">
    <cfRule type="cellIs" dxfId="0" priority="6" operator="lessThan">
      <formula>G8</formula>
    </cfRule>
  </conditionalFormatting>
  <conditionalFormatting sqref="K10">
    <cfRule type="expression" dxfId="2" priority="12">
      <formula>AND(NOT(ISBLANK(K10)),OR(J10="NonStk",K10&gt;J10))</formula>
    </cfRule>
  </conditionalFormatting>
  <conditionalFormatting sqref="K11">
    <cfRule type="expression" dxfId="2" priority="16">
      <formula>AND(NOT(ISBLANK(K11)),OR(J11="NonStk",K11&gt;J11))</formula>
    </cfRule>
  </conditionalFormatting>
  <conditionalFormatting sqref="K12">
    <cfRule type="expression" dxfId="2" priority="20">
      <formula>AND(NOT(ISBLANK(K12)),OR(J12="NonStk",K12&gt;J12))</formula>
    </cfRule>
  </conditionalFormatting>
  <conditionalFormatting sqref="K14">
    <cfRule type="expression" dxfId="2" priority="24">
      <formula>AND(NOT(ISBLANK(K14)),OR(J14="NonStk",K14&gt;J14))</formula>
    </cfRule>
  </conditionalFormatting>
  <conditionalFormatting sqref="K7">
    <cfRule type="expression" dxfId="1" priority="2">
      <formula>AND(K7&gt;0,MOD(K7,M7)&lt;&gt;0)</formula>
    </cfRule>
    <cfRule type="expression" dxfId="2" priority="3">
      <formula>AND(NOT(ISBLANK(K7)),OR(J7="NonStk",K7&gt;J7))</formula>
    </cfRule>
  </conditionalFormatting>
  <conditionalFormatting sqref="K8">
    <cfRule type="expression" dxfId="1" priority="7">
      <formula>AND(K8&gt;0,MOD(K8,M8)&lt;&gt;0)</formula>
    </cfRule>
    <cfRule type="expression" dxfId="2" priority="8">
      <formula>AND(NOT(ISBLANK(K8)),OR(J8="NonStk",K8&gt;J8))</formula>
    </cfRule>
  </conditionalFormatting>
  <conditionalFormatting sqref="L10">
    <cfRule type="cellIs" dxfId="3" priority="14" operator="lessThanOrEqual">
      <formula>H10</formula>
    </cfRule>
  </conditionalFormatting>
  <conditionalFormatting sqref="L11">
    <cfRule type="cellIs" dxfId="3" priority="18" operator="lessThanOrEqual">
      <formula>H11</formula>
    </cfRule>
  </conditionalFormatting>
  <conditionalFormatting sqref="L12">
    <cfRule type="cellIs" dxfId="3" priority="22" operator="lessThanOrEqual">
      <formula>H12</formula>
    </cfRule>
  </conditionalFormatting>
  <conditionalFormatting sqref="L14">
    <cfRule type="cellIs" dxfId="3" priority="26" operator="lessThanOrEqual">
      <formula>H14</formula>
    </cfRule>
  </conditionalFormatting>
  <conditionalFormatting sqref="L7">
    <cfRule type="cellIs" dxfId="3" priority="5" operator="lessThanOrEqual">
      <formula>H7</formula>
    </cfRule>
  </conditionalFormatting>
  <conditionalFormatting sqref="L8">
    <cfRule type="cellIs" dxfId="3" priority="10" operator="lessThanOrEqual">
      <formula>H8</formula>
    </cfRule>
  </conditionalFormatting>
  <conditionalFormatting sqref="N10">
    <cfRule type="cellIs" dxfId="3" priority="13" operator="lessThanOrEqual">
      <formula>I10</formula>
    </cfRule>
  </conditionalFormatting>
  <conditionalFormatting sqref="N11">
    <cfRule type="cellIs" dxfId="3" priority="17" operator="lessThanOrEqual">
      <formula>I11</formula>
    </cfRule>
  </conditionalFormatting>
  <conditionalFormatting sqref="N12">
    <cfRule type="cellIs" dxfId="3" priority="21" operator="lessThanOrEqual">
      <formula>I12</formula>
    </cfRule>
  </conditionalFormatting>
  <conditionalFormatting sqref="N14">
    <cfRule type="cellIs" dxfId="3" priority="25" operator="lessThanOrEqual">
      <formula>I14</formula>
    </cfRule>
  </conditionalFormatting>
  <conditionalFormatting sqref="N7">
    <cfRule type="cellIs" dxfId="3" priority="4" operator="lessThanOrEqual">
      <formula>I7</formula>
    </cfRule>
  </conditionalFormatting>
  <conditionalFormatting sqref="N8">
    <cfRule type="cellIs" dxfId="3" priority="9" operator="lessThanOrEqual">
      <formula>I8</formula>
    </cfRule>
  </conditionalFormatting>
  <conditionalFormatting sqref="P10">
    <cfRule type="cellIs" dxfId="0" priority="37" operator="lessThan">
      <formula>G10</formula>
    </cfRule>
  </conditionalFormatting>
  <conditionalFormatting sqref="P11">
    <cfRule type="cellIs" dxfId="0" priority="42" operator="lessThan">
      <formula>G11</formula>
    </cfRule>
  </conditionalFormatting>
  <conditionalFormatting sqref="P12">
    <cfRule type="cellIs" dxfId="0" priority="47" operator="lessThan">
      <formula>G12</formula>
    </cfRule>
  </conditionalFormatting>
  <conditionalFormatting sqref="P14">
    <cfRule type="cellIs" dxfId="0" priority="52" operator="lessThan">
      <formula>G14</formula>
    </cfRule>
  </conditionalFormatting>
  <conditionalFormatting sqref="P7">
    <cfRule type="cellIs" dxfId="0" priority="27" operator="lessThan">
      <formula>G7</formula>
    </cfRule>
  </conditionalFormatting>
  <conditionalFormatting sqref="P8">
    <cfRule type="cellIs" dxfId="0" priority="32" operator="lessThan">
      <formula>G8</formula>
    </cfRule>
  </conditionalFormatting>
  <conditionalFormatting sqref="Q10">
    <cfRule type="expression" dxfId="1" priority="38">
      <formula>AND(Q10&gt;0,MOD(Q10,S10)&lt;&gt;0)</formula>
    </cfRule>
    <cfRule type="expression" dxfId="2" priority="39">
      <formula>AND(NOT(ISBLANK(Q10)),OR(P10="NonStk",Q10&gt;P10))</formula>
    </cfRule>
  </conditionalFormatting>
  <conditionalFormatting sqref="Q11">
    <cfRule type="expression" dxfId="1" priority="43">
      <formula>AND(Q11&gt;0,MOD(Q11,S11)&lt;&gt;0)</formula>
    </cfRule>
    <cfRule type="expression" dxfId="2" priority="44">
      <formula>AND(NOT(ISBLANK(Q11)),OR(P11="NonStk",Q11&gt;P11))</formula>
    </cfRule>
  </conditionalFormatting>
  <conditionalFormatting sqref="Q12">
    <cfRule type="expression" dxfId="1" priority="48">
      <formula>AND(Q12&gt;0,MOD(Q12,S12)&lt;&gt;0)</formula>
    </cfRule>
    <cfRule type="expression" dxfId="2" priority="49">
      <formula>AND(NOT(ISBLANK(Q12)),OR(P12="NonStk",Q12&gt;P12))</formula>
    </cfRule>
  </conditionalFormatting>
  <conditionalFormatting sqref="Q14">
    <cfRule type="expression" dxfId="2" priority="53">
      <formula>AND(NOT(ISBLANK(Q14)),OR(P14="NonStk",Q14&gt;P14))</formula>
    </cfRule>
  </conditionalFormatting>
  <conditionalFormatting sqref="Q7">
    <cfRule type="expression" dxfId="1" priority="28">
      <formula>AND(Q7&gt;0,MOD(Q7,S7)&lt;&gt;0)</formula>
    </cfRule>
    <cfRule type="expression" dxfId="2" priority="29">
      <formula>AND(NOT(ISBLANK(Q7)),OR(P7="NonStk",Q7&gt;P7))</formula>
    </cfRule>
  </conditionalFormatting>
  <conditionalFormatting sqref="Q8">
    <cfRule type="expression" dxfId="1" priority="33">
      <formula>AND(Q8&gt;0,MOD(Q8,S8)&lt;&gt;0)</formula>
    </cfRule>
    <cfRule type="expression" dxfId="2" priority="34">
      <formula>AND(NOT(ISBLANK(Q8)),OR(P8="NonStk",Q8&gt;P8))</formula>
    </cfRule>
  </conditionalFormatting>
  <conditionalFormatting sqref="R10">
    <cfRule type="cellIs" dxfId="3" priority="41" operator="lessThanOrEqual">
      <formula>H10</formula>
    </cfRule>
  </conditionalFormatting>
  <conditionalFormatting sqref="R11">
    <cfRule type="cellIs" dxfId="3" priority="46" operator="lessThanOrEqual">
      <formula>H11</formula>
    </cfRule>
  </conditionalFormatting>
  <conditionalFormatting sqref="R12">
    <cfRule type="cellIs" dxfId="3" priority="51" operator="lessThanOrEqual">
      <formula>H12</formula>
    </cfRule>
  </conditionalFormatting>
  <conditionalFormatting sqref="R14">
    <cfRule type="cellIs" dxfId="3" priority="55" operator="lessThanOrEqual">
      <formula>H14</formula>
    </cfRule>
  </conditionalFormatting>
  <conditionalFormatting sqref="R7">
    <cfRule type="cellIs" dxfId="3" priority="31" operator="lessThanOrEqual">
      <formula>H7</formula>
    </cfRule>
  </conditionalFormatting>
  <conditionalFormatting sqref="R8">
    <cfRule type="cellIs" dxfId="3" priority="36" operator="lessThanOrEqual">
      <formula>H8</formula>
    </cfRule>
  </conditionalFormatting>
  <conditionalFormatting sqref="T10">
    <cfRule type="cellIs" dxfId="3" priority="40" operator="lessThanOrEqual">
      <formula>I10</formula>
    </cfRule>
  </conditionalFormatting>
  <conditionalFormatting sqref="T11">
    <cfRule type="cellIs" dxfId="3" priority="45" operator="lessThanOrEqual">
      <formula>I11</formula>
    </cfRule>
  </conditionalFormatting>
  <conditionalFormatting sqref="T12">
    <cfRule type="cellIs" dxfId="3" priority="50" operator="lessThanOrEqual">
      <formula>I12</formula>
    </cfRule>
  </conditionalFormatting>
  <conditionalFormatting sqref="T14">
    <cfRule type="cellIs" dxfId="3" priority="54" operator="lessThanOrEqual">
      <formula>I14</formula>
    </cfRule>
  </conditionalFormatting>
  <conditionalFormatting sqref="T7">
    <cfRule type="cellIs" dxfId="3" priority="30" operator="lessThanOrEqual">
      <formula>I7</formula>
    </cfRule>
  </conditionalFormatting>
  <conditionalFormatting sqref="T8">
    <cfRule type="cellIs" dxfId="3" priority="35" operator="lessThanOrEqual">
      <formula>I8</formula>
    </cfRule>
  </conditionalFormatting>
  <conditionalFormatting sqref="V10">
    <cfRule type="cellIs" dxfId="0" priority="64" operator="lessThan">
      <formula>G10</formula>
    </cfRule>
  </conditionalFormatting>
  <conditionalFormatting sqref="V11">
    <cfRule type="cellIs" dxfId="0" priority="68" operator="lessThan">
      <formula>G11</formula>
    </cfRule>
  </conditionalFormatting>
  <conditionalFormatting sqref="V12">
    <cfRule type="cellIs" dxfId="0" priority="72" operator="lessThan">
      <formula>G12</formula>
    </cfRule>
  </conditionalFormatting>
  <conditionalFormatting sqref="V14">
    <cfRule type="cellIs" dxfId="0" priority="76" operator="lessThan">
      <formula>G14</formula>
    </cfRule>
  </conditionalFormatting>
  <conditionalFormatting sqref="V7">
    <cfRule type="cellIs" dxfId="0" priority="56" operator="lessThan">
      <formula>G7</formula>
    </cfRule>
  </conditionalFormatting>
  <conditionalFormatting sqref="V8">
    <cfRule type="cellIs" dxfId="0" priority="60" operator="lessThan">
      <formula>G8</formula>
    </cfRule>
  </conditionalFormatting>
  <conditionalFormatting sqref="W10">
    <cfRule type="expression" dxfId="2" priority="65">
      <formula>AND(NOT(ISBLANK(W10)),OR(V10="NonStk",W10&gt;V10))</formula>
    </cfRule>
  </conditionalFormatting>
  <conditionalFormatting sqref="W11">
    <cfRule type="expression" dxfId="2" priority="69">
      <formula>AND(NOT(ISBLANK(W11)),OR(V11="NonStk",W11&gt;V11))</formula>
    </cfRule>
  </conditionalFormatting>
  <conditionalFormatting sqref="W12">
    <cfRule type="expression" dxfId="2" priority="73">
      <formula>AND(NOT(ISBLANK(W12)),OR(V12="NonStk",W12&gt;V12))</formula>
    </cfRule>
  </conditionalFormatting>
  <conditionalFormatting sqref="W14">
    <cfRule type="expression" dxfId="2" priority="77">
      <formula>AND(NOT(ISBLANK(W14)),OR(V14="NonStk",W14&gt;V14))</formula>
    </cfRule>
  </conditionalFormatting>
  <conditionalFormatting sqref="W7">
    <cfRule type="expression" dxfId="2" priority="57">
      <formula>AND(NOT(ISBLANK(W7)),OR(V7="NonStk",W7&gt;V7))</formula>
    </cfRule>
  </conditionalFormatting>
  <conditionalFormatting sqref="W8">
    <cfRule type="expression" dxfId="2" priority="61">
      <formula>AND(NOT(ISBLANK(W8)),OR(V8="NonStk",W8&gt;V8))</formula>
    </cfRule>
  </conditionalFormatting>
  <conditionalFormatting sqref="X10">
    <cfRule type="cellIs" dxfId="3" priority="67" operator="lessThanOrEqual">
      <formula>H10</formula>
    </cfRule>
  </conditionalFormatting>
  <conditionalFormatting sqref="X11">
    <cfRule type="cellIs" dxfId="3" priority="71" operator="lessThanOrEqual">
      <formula>H11</formula>
    </cfRule>
  </conditionalFormatting>
  <conditionalFormatting sqref="X12">
    <cfRule type="cellIs" dxfId="3" priority="75" operator="lessThanOrEqual">
      <formula>H12</formula>
    </cfRule>
  </conditionalFormatting>
  <conditionalFormatting sqref="X14">
    <cfRule type="cellIs" dxfId="3" priority="79" operator="lessThanOrEqual">
      <formula>H14</formula>
    </cfRule>
  </conditionalFormatting>
  <conditionalFormatting sqref="X7">
    <cfRule type="cellIs" dxfId="3" priority="59" operator="lessThanOrEqual">
      <formula>H7</formula>
    </cfRule>
  </conditionalFormatting>
  <conditionalFormatting sqref="X8">
    <cfRule type="cellIs" dxfId="3" priority="63" operator="lessThanOrEqual">
      <formula>H8</formula>
    </cfRule>
  </conditionalFormatting>
  <conditionalFormatting sqref="Z10">
    <cfRule type="cellIs" dxfId="3" priority="66" operator="lessThanOrEqual">
      <formula>I10</formula>
    </cfRule>
  </conditionalFormatting>
  <conditionalFormatting sqref="Z11">
    <cfRule type="cellIs" dxfId="3" priority="70" operator="lessThanOrEqual">
      <formula>I11</formula>
    </cfRule>
  </conditionalFormatting>
  <conditionalFormatting sqref="Z12">
    <cfRule type="cellIs" dxfId="3" priority="74" operator="lessThanOrEqual">
      <formula>I12</formula>
    </cfRule>
  </conditionalFormatting>
  <conditionalFormatting sqref="Z14">
    <cfRule type="cellIs" dxfId="3" priority="78" operator="lessThanOrEqual">
      <formula>I14</formula>
    </cfRule>
  </conditionalFormatting>
  <conditionalFormatting sqref="Z7">
    <cfRule type="cellIs" dxfId="3" priority="58" operator="lessThanOrEqual">
      <formula>I7</formula>
    </cfRule>
  </conditionalFormatting>
  <conditionalFormatting sqref="Z8">
    <cfRule type="cellIs" dxfId="3" priority="62" operator="lessThanOrEqual">
      <formula>I8</formula>
    </cfRule>
  </conditionalFormatting>
  <hyperlinks>
    <hyperlink ref="O7" r:id="rId1"/>
    <hyperlink ref="U7" r:id="rId2"/>
    <hyperlink ref="AA7" r:id="rId3"/>
    <hyperlink ref="AG7" r:id="rId4"/>
    <hyperlink ref="O8" r:id="rId5"/>
    <hyperlink ref="U8" r:id="rId6"/>
    <hyperlink ref="AA8" r:id="rId7"/>
    <hyperlink ref="AG8" r:id="rId8"/>
    <hyperlink ref="O10" r:id="rId9"/>
    <hyperlink ref="U10" r:id="rId10"/>
    <hyperlink ref="AA10" r:id="rId11"/>
    <hyperlink ref="AG10" r:id="rId12"/>
    <hyperlink ref="O11" r:id="rId13"/>
    <hyperlink ref="U11" r:id="rId14"/>
    <hyperlink ref="AA11" r:id="rId15"/>
    <hyperlink ref="AG11" r:id="rId16"/>
    <hyperlink ref="O12" r:id="rId17"/>
    <hyperlink ref="U12" r:id="rId18"/>
    <hyperlink ref="AA12" r:id="rId19"/>
    <hyperlink ref="AG12" r:id="rId20"/>
    <hyperlink ref="O14" r:id="rId21"/>
    <hyperlink ref="U14" r:id="rId22"/>
    <hyperlink ref="AA14" r:id="rId23"/>
    <hyperlink ref="AG14" r:id="rId24"/>
    <hyperlink ref="J16" r:id="rId25"/>
    <hyperlink ref="P16" r:id="rId26"/>
    <hyperlink ref="V16" r:id="rId27"/>
    <hyperlink ref="AB16" r:id="rId28"/>
  </hyperlinks>
  <pageMargins left="0.7" right="0.7" top="0.75" bottom="0.75" header="0.3" footer="0.3"/>
  <legacy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555</vt:lpstr>
      <vt:lpstr>'555'!BoardQty</vt:lpstr>
      <vt:lpstr>'555'!PURCHASE_DESCRIPTION</vt:lpstr>
      <vt:lpstr>'555'!TotalCost</vt:lpstr>
      <vt:lpstr>'555'!USD_GBP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2025-06-04T18:43:37Z</dcterms:created>
  <dcterms:modified xsi:type="dcterms:W3CDTF">2025-06-04T18:43:37Z</dcterms:modified>
</cp:coreProperties>
</file>